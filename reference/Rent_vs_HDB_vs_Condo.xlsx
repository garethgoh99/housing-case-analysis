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Rent: pure outflow, no equity. Inputs on Assumptions sheet.</t>
        </r>
      </text>
    </comment>
  </commentList>
</comments>
</file>

<file path=xl/sharedStrings.xml><?xml version="1.0" encoding="utf-8"?>
<sst xmlns="http://schemas.openxmlformats.org/spreadsheetml/2006/main" count="89" uniqueCount="78">
  <si>
    <t xml:space="preserve">Rent</t>
  </si>
  <si>
    <t xml:space="preserve">HDB Resale</t>
  </si>
  <si>
    <t xml:space="preserve">Condo</t>
  </si>
  <si>
    <t xml:space="preserve">Workings</t>
  </si>
  <si>
    <t xml:space="preserve">Outflow</t>
  </si>
  <si>
    <t xml:space="preserve">Equity</t>
  </si>
  <si>
    <t xml:space="preserve">Condo milestone / note</t>
  </si>
  <si>
    <t xml:space="preserve">HDB loan balance</t>
  </si>
  <si>
    <t xml:space="preserve">HDB interest</t>
  </si>
  <si>
    <t xml:space="preserve">Condo disbursement</t>
  </si>
  <si>
    <t xml:space="preserve">Condo opening bal.</t>
  </si>
  <si>
    <t xml:space="preserve">Condo interest</t>
  </si>
  <si>
    <t xml:space="preserve">Condo loan balance</t>
  </si>
  <si>
    <t xml:space="preserve">Summary</t>
  </si>
  <si>
    <t xml:space="preserve">Total outflow (whole period)</t>
  </si>
  <si>
    <t xml:space="preserve">Total equity (whole period)</t>
  </si>
  <si>
    <t xml:space="preserve">Money lost (outflow − equity)</t>
  </si>
  <si>
    <t xml:space="preserve">Outflow to Jan 2032</t>
  </si>
  <si>
    <t xml:space="preserve">Equity to Jan 2032</t>
  </si>
  <si>
    <t xml:space="preserve">Lost to Jan 2032</t>
  </si>
  <si>
    <t xml:space="preserve">Loan still owed at end</t>
  </si>
  <si>
    <t xml:space="preserve">Assumptions (blue = inputs you can change; black = formulas)</t>
  </si>
  <si>
    <t xml:space="preserve">Monthly rent (now to switch date)</t>
  </si>
  <si>
    <t xml:space="preserve">From you</t>
  </si>
  <si>
    <t xml:space="preserve">Rent increase starts</t>
  </si>
  <si>
    <t xml:space="preserve">From you: higher rent from Jan 2030</t>
  </si>
  <si>
    <t xml:space="preserve">Monthly rent (after switch)</t>
  </si>
  <si>
    <t xml:space="preserve">HDB resale</t>
  </si>
  <si>
    <t xml:space="preserve">Purchase price</t>
  </si>
  <si>
    <t xml:space="preserve">Loan-to-value</t>
  </si>
  <si>
    <t xml:space="preserve">HDB loan max 75%</t>
  </si>
  <si>
    <t xml:space="preserve">Downpayment (equity)</t>
  </si>
  <si>
    <t xml:space="preserve">Buyer's stamp duty</t>
  </si>
  <si>
    <t xml:space="preserve">IRAS BSD tiers on $900K</t>
  </si>
  <si>
    <t xml:space="preserve">Legal, valuation &amp; misc fees</t>
  </si>
  <si>
    <t xml:space="preserve">Estimate; not equity</t>
  </si>
  <si>
    <t xml:space="preserve">Total cash/CPF out at completion</t>
  </si>
  <si>
    <t xml:space="preserve">Completion (loan drawn)</t>
  </si>
  <si>
    <t xml:space="preserve">From you: January 2027</t>
  </si>
  <si>
    <t xml:space="preserve">Interest rate (HDB concessionary)</t>
  </si>
  <si>
    <t xml:space="preserve">HDB rate, Q3 2026</t>
  </si>
  <si>
    <t xml:space="preserve">Tenure (years)</t>
  </si>
  <si>
    <t xml:space="preserve">Loan amount</t>
  </si>
  <si>
    <t xml:space="preserve">Monthly instalment</t>
  </si>
  <si>
    <t xml:space="preserve">Starts month after completion</t>
  </si>
  <si>
    <t xml:space="preserve">Condo (new launch)</t>
  </si>
  <si>
    <t xml:space="preserve">Bank loan max 75%</t>
  </si>
  <si>
    <t xml:space="preserve">Upfront equity (25%)</t>
  </si>
  <si>
    <t xml:space="preserve">OTP 5% + S&amp;P 15% + 1st half of foundation 5%</t>
  </si>
  <si>
    <t xml:space="preserve">Total upfront cash/CPF out</t>
  </si>
  <si>
    <t xml:space="preserve">From you: incl. BSD (~$68.6K) &amp; legal</t>
  </si>
  <si>
    <t xml:space="preserve">Upfront payment month</t>
  </si>
  <si>
    <t xml:space="preserve">From you: October 2026</t>
  </si>
  <si>
    <t xml:space="preserve">Interest rate (bank, est.)</t>
  </si>
  <si>
    <t xml:space="preserve">2026 bank packages ~1.3–1.8%</t>
  </si>
  <si>
    <t xml:space="preserve">Tenure (years, from 1st disbursement)</t>
  </si>
  <si>
    <t xml:space="preserve">Non-equity upfront costs</t>
  </si>
  <si>
    <t xml:space="preserve">Condo progressive payments funded by the loan (TOP assumed Apr 2029, foundation already laid)</t>
  </si>
  <si>
    <t xml:space="preserve">Stage</t>
  </si>
  <si>
    <t xml:space="preserve">Est. date</t>
  </si>
  <si>
    <t xml:space="preserve">% of price</t>
  </si>
  <si>
    <t xml:space="preserve">Loan disbursed</t>
  </si>
  <si>
    <t xml:space="preserve">Foundation (balance 5%)</t>
  </si>
  <si>
    <t xml:space="preserve">Reinforced concrete framework</t>
  </si>
  <si>
    <t xml:space="preserve">Brick walls</t>
  </si>
  <si>
    <t xml:space="preserve">Ceiling/roofing</t>
  </si>
  <si>
    <t xml:space="preserve">Electrical wiring/plumbing/windows</t>
  </si>
  <si>
    <t xml:space="preserve">Carparks/roads/drains</t>
  </si>
  <si>
    <t xml:space="preserve">TOP</t>
  </si>
  <si>
    <t xml:space="preserve">CSC (~12 months after TOP)</t>
  </si>
  <si>
    <t xml:space="preserve">Total</t>
  </si>
  <si>
    <t xml:space="preserve">Notes</t>
  </si>
  <si>
    <t xml:space="preserve">Equity = cash put into the property + principal repaid. No property price appreciation is assumed.</t>
  </si>
  <si>
    <t xml:space="preserve">Lost money = outflow − equity (rent, interest, stamp duty, legal fees).</t>
  </si>
  <si>
    <t xml:space="preserve">All figures are nominal (not discounted), as agreed.</t>
  </si>
  <si>
    <t xml:space="preserve">Condo instalments start the month after each disbursement and are recalculated on the remaining tenure.</t>
  </si>
  <si>
    <t xml:space="preserve">Milestone dates are estimates; developers bill each stage as it completes, so actual dates will vary.</t>
  </si>
  <si>
    <t xml:space="preserve">Bank rates usually reprice after 2–3 years; the 1.5% is held flat here for simplicity.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</si>
</sst>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mmm\ yyyy"/>
    <numFmt numFmtId="167" formatCode="\$#,##0;&quot;($&quot;#,##0\);\-"/>
    <numFmt numFmtId="168" formatCode="0.00%"/>
    <numFmt numFmtId="169" formatCode="0"/>
    <numFmt numFmtId="170" formatCode="0%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  <col collapsed="false" customWidth="true" hidden="false" outlineLevel="0" max="8" min="8" style="0" width="38"/>
    <col collapsed="false" customWidth="true" hidden="false" outlineLevel="0" max="14" min="9" style="0" width="15"/>
  </cols>
  <sheetData>
    <row r="1" customFormat="false" ht="15.75" hidden="false" customHeight="false" outlineLevel="0" collapsed="false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1"/>
      <c r="I1" s="3" t="s">
        <v>3</v>
      </c>
      <c r="J1" s="3"/>
      <c r="K1" s="3"/>
      <c r="L1" s="3"/>
      <c r="M1" s="3"/>
      <c r="N1" s="3"/>
    </row>
    <row r="2" customFormat="false" ht="15.75" hidden="false" customHeight="false" outlineLevel="0" collapsed="false">
      <c r="A2" s="4"/>
      <c r="B2" s="5" t="s">
        <v>4</v>
      </c>
      <c r="C2" s="5" t="s">
        <v>5</v>
      </c>
      <c r="D2" s="5" t="s">
        <v>4</v>
      </c>
      <c r="E2" s="5" t="s">
        <v>5</v>
      </c>
      <c r="F2" s="5" t="s">
        <v>4</v>
      </c>
      <c r="G2" s="5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customFormat="false" ht="15.75" hidden="false" customHeight="false" outlineLevel="0" collapsed="false">
      <c r="A3" s="6" t="n">
        <v>46296</v>
      </c>
      <c r="B3" s="7" t="n">
        <f aca="false">IF(A3&lt;Assumptions!$B$4,Assumptions!$B$3,Assumptions!$B$5)</f>
        <v>2000</v>
      </c>
      <c r="C3" s="7" t="n">
        <v>0</v>
      </c>
      <c r="D3" s="8" t="n">
        <f aca="false">IF(A3=Assumptions!$B$14,Assumptions!$B$13,IF(AND(A3&gt;Assumptions!$B$14,N(I2)&gt;0.5),Assumptions!$B$18,0))</f>
        <v>0</v>
      </c>
      <c r="E3" s="8" t="n">
        <f aca="false">IF(A3=Assumptions!$B$14,Assumptions!$B$10,IF(A3&gt;Assumptions!$B$14,D3-J3,0))</f>
        <v>0</v>
      </c>
      <c r="F3" s="8" t="n">
        <f aca="false">IF(A3=Assumptions!$B$25,Assumptions!$B$24,0)+IF(L3&gt;0,PMT(Assumptions!$B$26/12,(Assumptions!$B$27*12+1-((YEAR(A3)-YEAR(Assumptions!$B$33))*12+MONTH(A3)-MONTH(Assumptions!$B$33))),-L3),0)</f>
        <v>565000</v>
      </c>
      <c r="G3" s="8" t="n">
        <f aca="false">IF(A3=Assumptions!$B$25,Assumptions!$B$23,0)+IF(L3&gt;0,PMT(Assumptions!$B$26/12,(Assumptions!$B$27*12+1-((YEAR(A3)-YEAR(Assumptions!$B$33))*12+MONTH(A3)-MONTH(Assumptions!$B$33))),-L3),0)-M3</f>
        <v>495000</v>
      </c>
      <c r="H3" s="9" t="str">
        <f aca="false">IF(A3=Assumptions!$B$25,"Condo: OTP + S&amp;P + 25% equity paid",IF(A3=Assumptions!$B$14,"HDB: completion, downpayment paid",IFERROR("Condo: "&amp;INDEX(Assumptions!$A$33:$A$40,MATCH(A3,Assumptions!$B$33:$B$40,0)),"")))</f>
        <v>Condo: OTP + S&amp;P + 25% equity paid</v>
      </c>
      <c r="I3" s="10" t="n">
        <f aca="false">IF(A3=Assumptions!$B$14,Assumptions!$B$17,IF(A3&gt;Assumptions!$B$14,N(I2)-E3,0))</f>
        <v>0</v>
      </c>
      <c r="J3" s="10" t="n">
        <f aca="false">IF(A3&gt;Assumptions!$B$14,N(I2)*Assumptions!$B$15/12,0)</f>
        <v>0</v>
      </c>
      <c r="K3" s="10" t="n">
        <f aca="false">SUMIFS(Assumptions!$D$33:$D$40,Assumptions!$B$33:$B$40,A3)</f>
        <v>0</v>
      </c>
      <c r="L3" s="10" t="n">
        <f aca="false">N(N2)</f>
        <v>0</v>
      </c>
      <c r="M3" s="10" t="n">
        <f aca="false">L3*Assumptions!$B$26/12</f>
        <v>0</v>
      </c>
      <c r="N3" s="10" t="n">
        <f aca="false">L3+K3-(IF(L3&gt;0,PMT(Assumptions!$B$26/12,(Assumptions!$B$27*12+1-((YEAR(A3)-YEAR(Assumptions!$B$33))*12+MONTH(A3)-MONTH(Assumptions!$B$33))),-L3),0)-M3)</f>
        <v>0</v>
      </c>
    </row>
    <row r="4" customFormat="false" ht="15.75" hidden="false" customHeight="false" outlineLevel="0" collapsed="false">
      <c r="A4" s="6" t="n">
        <v>46327</v>
      </c>
      <c r="B4" s="7" t="n">
        <f aca="false">IF(A4&lt;Assumptions!$B$4,Assumptions!$B$3,Assumptions!$B$5)</f>
        <v>2000</v>
      </c>
      <c r="C4" s="7" t="n">
        <v>0</v>
      </c>
      <c r="D4" s="8" t="n">
        <f aca="false">IF(A4=Assumptions!$B$14,Assumptions!$B$13,IF(AND(A4&gt;Assumptions!$B$14,N(I3)&gt;0.5),Assumptions!$B$18,0))</f>
        <v>0</v>
      </c>
      <c r="E4" s="8" t="n">
        <f aca="false">IF(A4=Assumptions!$B$14,Assumptions!$B$10,IF(A4&gt;Assumptions!$B$14,D4-J4,0))</f>
        <v>0</v>
      </c>
      <c r="F4" s="8" t="n">
        <f aca="false">IF(A4=Assumptions!$B$25,Assumptions!$B$24,0)+IF(L4&gt;0,PMT(Assumptions!$B$26/12,(Assumptions!$B$27*12+1-((YEAR(A4)-YEAR(Assumptions!$B$33))*12+MONTH(A4)-MONTH(Assumptions!$B$33))),-L4),0)</f>
        <v>0</v>
      </c>
      <c r="G4" s="8" t="n">
        <f aca="false">IF(A4=Assumptions!$B$25,Assumptions!$B$23,0)+IF(L4&gt;0,PMT(Assumptions!$B$26/12,(Assumptions!$B$27*12+1-((YEAR(A4)-YEAR(Assumptions!$B$33))*12+MONTH(A4)-MONTH(Assumptions!$B$33))),-L4),0)-M4</f>
        <v>0</v>
      </c>
      <c r="H4" s="9" t="str">
        <f aca="false">IF(A4=Assumptions!$B$25,"Condo: OTP + S&amp;P + 25% equity paid",IF(A4=Assumptions!$B$14,"HDB: completion, downpayment paid",IFERROR("Condo: "&amp;INDEX(Assumptions!$A$33:$A$40,MATCH(A4,Assumptions!$B$33:$B$40,0)),"")))</f>
        <v/>
      </c>
      <c r="I4" s="10" t="n">
        <f aca="false">IF(A4=Assumptions!$B$14,Assumptions!$B$17,IF(A4&gt;Assumptions!$B$14,N(I3)-E4,0))</f>
        <v>0</v>
      </c>
      <c r="J4" s="10" t="n">
        <f aca="false">IF(A4&gt;Assumptions!$B$14,N(I3)*Assumptions!$B$15/12,0)</f>
        <v>0</v>
      </c>
      <c r="K4" s="10" t="n">
        <f aca="false">SUMIFS(Assumptions!$D$33:$D$40,Assumptions!$B$33:$B$40,A4)</f>
        <v>0</v>
      </c>
      <c r="L4" s="10" t="n">
        <f aca="false">N(N3)</f>
        <v>0</v>
      </c>
      <c r="M4" s="10" t="n">
        <f aca="false">L4*Assumptions!$B$26/12</f>
        <v>0</v>
      </c>
      <c r="N4" s="10" t="n">
        <f aca="false">L4+K4-(IF(L4&gt;0,PMT(Assumptions!$B$26/12,(Assumptions!$B$27*12+1-((YEAR(A4)-YEAR(Assumptions!$B$33))*12+MONTH(A4)-MONTH(Assumptions!$B$33))),-L4),0)-M4)</f>
        <v>0</v>
      </c>
    </row>
    <row r="5" customFormat="false" ht="15.75" hidden="false" customHeight="false" outlineLevel="0" collapsed="false">
      <c r="A5" s="6" t="n">
        <v>46357</v>
      </c>
      <c r="B5" s="7" t="n">
        <f aca="false">IF(A5&lt;Assumptions!$B$4,Assumptions!$B$3,Assumptions!$B$5)</f>
        <v>2000</v>
      </c>
      <c r="C5" s="7" t="n">
        <v>0</v>
      </c>
      <c r="D5" s="8" t="n">
        <f aca="false">IF(A5=Assumptions!$B$14,Assumptions!$B$13,IF(AND(A5&gt;Assumptions!$B$14,N(I4)&gt;0.5),Assumptions!$B$18,0))</f>
        <v>0</v>
      </c>
      <c r="E5" s="8" t="n">
        <f aca="false">IF(A5=Assumptions!$B$14,Assumptions!$B$10,IF(A5&gt;Assumptions!$B$14,D5-J5,0))</f>
        <v>0</v>
      </c>
      <c r="F5" s="8" t="n">
        <f aca="false">IF(A5=Assumptions!$B$25,Assumptions!$B$24,0)+IF(L5&gt;0,PMT(Assumptions!$B$26/12,(Assumptions!$B$27*12+1-((YEAR(A5)-YEAR(Assumptions!$B$33))*12+MONTH(A5)-MONTH(Assumptions!$B$33))),-L5),0)</f>
        <v>0</v>
      </c>
      <c r="G5" s="8" t="n">
        <f aca="false">IF(A5=Assumptions!$B$25,Assumptions!$B$23,0)+IF(L5&gt;0,PMT(Assumptions!$B$26/12,(Assumptions!$B$27*12+1-((YEAR(A5)-YEAR(Assumptions!$B$33))*12+MONTH(A5)-MONTH(Assumptions!$B$33))),-L5),0)-M5</f>
        <v>0</v>
      </c>
      <c r="H5" s="9" t="str">
        <f aca="false">IF(A5=Assumptions!$B$25,"Condo: OTP + S&amp;P + 25% equity paid",IF(A5=Assumptions!$B$14,"HDB: completion, downpayment paid",IFERROR("Condo: "&amp;INDEX(Assumptions!$A$33:$A$40,MATCH(A5,Assumptions!$B$33:$B$40,0)),"")))</f>
        <v/>
      </c>
      <c r="I5" s="10" t="n">
        <f aca="false">IF(A5=Assumptions!$B$14,Assumptions!$B$17,IF(A5&gt;Assumptions!$B$14,N(I4)-E5,0))</f>
        <v>0</v>
      </c>
      <c r="J5" s="10" t="n">
        <f aca="false">IF(A5&gt;Assumptions!$B$14,N(I4)*Assumptions!$B$15/12,0)</f>
        <v>0</v>
      </c>
      <c r="K5" s="10" t="n">
        <f aca="false">SUMIFS(Assumptions!$D$33:$D$40,Assumptions!$B$33:$B$40,A5)</f>
        <v>0</v>
      </c>
      <c r="L5" s="10" t="n">
        <f aca="false">N(N4)</f>
        <v>0</v>
      </c>
      <c r="M5" s="10" t="n">
        <f aca="false">L5*Assumptions!$B$26/12</f>
        <v>0</v>
      </c>
      <c r="N5" s="10" t="n">
        <f aca="false">L5+K5-(IF(L5&gt;0,PMT(Assumptions!$B$26/12,(Assumptions!$B$27*12+1-((YEAR(A5)-YEAR(Assumptions!$B$33))*12+MONTH(A5)-MONTH(Assumptions!$B$33))),-L5),0)-M5)</f>
        <v>0</v>
      </c>
    </row>
    <row r="6" customFormat="false" ht="15.75" hidden="false" customHeight="false" outlineLevel="0" collapsed="false">
      <c r="A6" s="6" t="n">
        <v>46388</v>
      </c>
      <c r="B6" s="7" t="n">
        <f aca="false">IF(A6&lt;Assumptions!$B$4,Assumptions!$B$3,Assumptions!$B$5)</f>
        <v>2000</v>
      </c>
      <c r="C6" s="7" t="n">
        <v>0</v>
      </c>
      <c r="D6" s="8" t="n">
        <f aca="false">IF(A6=Assumptions!$B$14,Assumptions!$B$13,IF(AND(A6&gt;Assumptions!$B$14,N(I5)&gt;0.5),Assumptions!$B$18,0))</f>
        <v>249600</v>
      </c>
      <c r="E6" s="8" t="n">
        <f aca="false">IF(A6=Assumptions!$B$14,Assumptions!$B$10,IF(A6&gt;Assumptions!$B$14,D6-J6,0))</f>
        <v>225000</v>
      </c>
      <c r="F6" s="8" t="n">
        <f aca="false">IF(A6=Assumptions!$B$25,Assumptions!$B$24,0)+IF(L6&gt;0,PMT(Assumptions!$B$26/12,(Assumptions!$B$27*12+1-((YEAR(A6)-YEAR(Assumptions!$B$33))*12+MONTH(A6)-MONTH(Assumptions!$B$33))),-L6),0)</f>
        <v>0</v>
      </c>
      <c r="G6" s="8" t="n">
        <f aca="false">IF(A6=Assumptions!$B$25,Assumptions!$B$23,0)+IF(L6&gt;0,PMT(Assumptions!$B$26/12,(Assumptions!$B$27*12+1-((YEAR(A6)-YEAR(Assumptions!$B$33))*12+MONTH(A6)-MONTH(Assumptions!$B$33))),-L6),0)-M6</f>
        <v>0</v>
      </c>
      <c r="H6" s="9" t="str">
        <f aca="false">IF(A6=Assumptions!$B$25,"Condo: OTP + S&amp;P + 25% equity paid",IF(A6=Assumptions!$B$14,"HDB: completion, downpayment paid",IFERROR("Condo: "&amp;INDEX(Assumptions!$A$33:$A$40,MATCH(A6,Assumptions!$B$33:$B$40,0)),"")))</f>
        <v>HDB: completion, downpayment paid</v>
      </c>
      <c r="I6" s="10" t="n">
        <f aca="false">IF(A6=Assumptions!$B$14,Assumptions!$B$17,IF(A6&gt;Assumptions!$B$14,N(I5)-E6,0))</f>
        <v>675000</v>
      </c>
      <c r="J6" s="10" t="n">
        <f aca="false">IF(A6&gt;Assumptions!$B$14,N(I5)*Assumptions!$B$15/12,0)</f>
        <v>0</v>
      </c>
      <c r="K6" s="10" t="n">
        <f aca="false">SUMIFS(Assumptions!$D$33:$D$40,Assumptions!$B$33:$B$40,A6)</f>
        <v>99000</v>
      </c>
      <c r="L6" s="10" t="n">
        <f aca="false">N(N5)</f>
        <v>0</v>
      </c>
      <c r="M6" s="10" t="n">
        <f aca="false">L6*Assumptions!$B$26/12</f>
        <v>0</v>
      </c>
      <c r="N6" s="10" t="n">
        <f aca="false">L6+K6-(IF(L6&gt;0,PMT(Assumptions!$B$26/12,(Assumptions!$B$27*12+1-((YEAR(A6)-YEAR(Assumptions!$B$33))*12+MONTH(A6)-MONTH(Assumptions!$B$33))),-L6),0)-M6)</f>
        <v>99000</v>
      </c>
    </row>
    <row r="7" customFormat="false" ht="15.75" hidden="false" customHeight="false" outlineLevel="0" collapsed="false">
      <c r="A7" s="6" t="n">
        <v>46419</v>
      </c>
      <c r="B7" s="7" t="n">
        <f aca="false">IF(A7&lt;Assumptions!$B$4,Assumptions!$B$3,Assumptions!$B$5)</f>
        <v>2000</v>
      </c>
      <c r="C7" s="7" t="n">
        <v>0</v>
      </c>
      <c r="D7" s="8" t="n">
        <f aca="false">IF(A7=Assumptions!$B$14,Assumptions!$B$13,IF(AND(A7&gt;Assumptions!$B$14,N(I6)&gt;0.5),Assumptions!$B$18,0))</f>
        <v>3062.26917357728</v>
      </c>
      <c r="E7" s="8" t="n">
        <f aca="false">IF(A7=Assumptions!$B$14,Assumptions!$B$10,IF(A7&gt;Assumptions!$B$14,D7-J7,0))</f>
        <v>1599.76917357728</v>
      </c>
      <c r="F7" s="8" t="n">
        <f aca="false">IF(A7=Assumptions!$B$25,Assumptions!$B$24,0)+IF(L7&gt;0,PMT(Assumptions!$B$26/12,(Assumptions!$B$27*12+1-((YEAR(A7)-YEAR(Assumptions!$B$33))*12+MONTH(A7)-MONTH(Assumptions!$B$33))),-L7),0)</f>
        <v>341.669008353051</v>
      </c>
      <c r="G7" s="8" t="n">
        <f aca="false">IF(A7=Assumptions!$B$25,Assumptions!$B$23,0)+IF(L7&gt;0,PMT(Assumptions!$B$26/12,(Assumptions!$B$27*12+1-((YEAR(A7)-YEAR(Assumptions!$B$33))*12+MONTH(A7)-MONTH(Assumptions!$B$33))),-L7),0)-M7</f>
        <v>217.919008353051</v>
      </c>
      <c r="H7" s="9" t="str">
        <f aca="false">IF(A7=Assumptions!$B$25,"Condo: OTP + S&amp;P + 25% equity paid",IF(A7=Assumptions!$B$14,"HDB: completion, downpayment paid",IFERROR("Condo: "&amp;INDEX(Assumptions!$A$33:$A$40,MATCH(A7,Assumptions!$B$33:$B$40,0)),"")))</f>
        <v/>
      </c>
      <c r="I7" s="10" t="n">
        <f aca="false">IF(A7=Assumptions!$B$14,Assumptions!$B$17,IF(A7&gt;Assumptions!$B$14,N(I6)-E7,0))</f>
        <v>673400.230826423</v>
      </c>
      <c r="J7" s="10" t="n">
        <f aca="false">IF(A7&gt;Assumptions!$B$14,N(I6)*Assumptions!$B$15/12,0)</f>
        <v>1462.5</v>
      </c>
      <c r="K7" s="10" t="n">
        <f aca="false">SUMIFS(Assumptions!$D$33:$D$40,Assumptions!$B$33:$B$40,A7)</f>
        <v>0</v>
      </c>
      <c r="L7" s="10" t="n">
        <f aca="false">N(N6)</f>
        <v>99000</v>
      </c>
      <c r="M7" s="10" t="n">
        <f aca="false">L7*Assumptions!$B$26/12</f>
        <v>123.75</v>
      </c>
      <c r="N7" s="10" t="n">
        <f aca="false">L7+K7-(IF(L7&gt;0,PMT(Assumptions!$B$26/12,(Assumptions!$B$27*12+1-((YEAR(A7)-YEAR(Assumptions!$B$33))*12+MONTH(A7)-MONTH(Assumptions!$B$33))),-L7),0)-M7)</f>
        <v>98782.0809916469</v>
      </c>
    </row>
    <row r="8" customFormat="false" ht="15.75" hidden="false" customHeight="false" outlineLevel="0" collapsed="false">
      <c r="A8" s="6" t="n">
        <v>46447</v>
      </c>
      <c r="B8" s="7" t="n">
        <f aca="false">IF(A8&lt;Assumptions!$B$4,Assumptions!$B$3,Assumptions!$B$5)</f>
        <v>2000</v>
      </c>
      <c r="C8" s="7" t="n">
        <v>0</v>
      </c>
      <c r="D8" s="8" t="n">
        <f aca="false">IF(A8=Assumptions!$B$14,Assumptions!$B$13,IF(AND(A8&gt;Assumptions!$B$14,N(I7)&gt;0.5),Assumptions!$B$18,0))</f>
        <v>3062.26917357728</v>
      </c>
      <c r="E8" s="8" t="n">
        <f aca="false">IF(A8=Assumptions!$B$14,Assumptions!$B$10,IF(A8&gt;Assumptions!$B$14,D8-J8,0))</f>
        <v>1603.23534012003</v>
      </c>
      <c r="F8" s="8" t="n">
        <f aca="false">IF(A8=Assumptions!$B$25,Assumptions!$B$24,0)+IF(L8&gt;0,PMT(Assumptions!$B$26/12,(Assumptions!$B$27*12+1-((YEAR(A8)-YEAR(Assumptions!$B$33))*12+MONTH(A8)-MONTH(Assumptions!$B$33))),-L8),0)</f>
        <v>341.669008353051</v>
      </c>
      <c r="G8" s="8" t="n">
        <f aca="false">IF(A8=Assumptions!$B$25,Assumptions!$B$23,0)+IF(L8&gt;0,PMT(Assumptions!$B$26/12,(Assumptions!$B$27*12+1-((YEAR(A8)-YEAR(Assumptions!$B$33))*12+MONTH(A8)-MONTH(Assumptions!$B$33))),-L8),0)-M8</f>
        <v>218.191407113492</v>
      </c>
      <c r="H8" s="9" t="str">
        <f aca="false">IF(A8=Assumptions!$B$25,"Condo: OTP + S&amp;P + 25% equity paid",IF(A8=Assumptions!$B$14,"HDB: completion, downpayment paid",IFERROR("Condo: "&amp;INDEX(Assumptions!$A$33:$A$40,MATCH(A8,Assumptions!$B$33:$B$40,0)),"")))</f>
        <v/>
      </c>
      <c r="I8" s="10" t="n">
        <f aca="false">IF(A8=Assumptions!$B$14,Assumptions!$B$17,IF(A8&gt;Assumptions!$B$14,N(I7)-E8,0))</f>
        <v>671796.995486303</v>
      </c>
      <c r="J8" s="10" t="n">
        <f aca="false">IF(A8&gt;Assumptions!$B$14,N(I7)*Assumptions!$B$15/12,0)</f>
        <v>1459.03383345725</v>
      </c>
      <c r="K8" s="10" t="n">
        <f aca="false">SUMIFS(Assumptions!$D$33:$D$40,Assumptions!$B$33:$B$40,A8)</f>
        <v>0</v>
      </c>
      <c r="L8" s="10" t="n">
        <f aca="false">N(N7)</f>
        <v>98782.0809916469</v>
      </c>
      <c r="M8" s="10" t="n">
        <f aca="false">L8*Assumptions!$B$26/12</f>
        <v>123.477601239559</v>
      </c>
      <c r="N8" s="10" t="n">
        <f aca="false">L8+K8-(IF(L8&gt;0,PMT(Assumptions!$B$26/12,(Assumptions!$B$27*12+1-((YEAR(A8)-YEAR(Assumptions!$B$33))*12+MONTH(A8)-MONTH(Assumptions!$B$33))),-L8),0)-M8)</f>
        <v>98563.8895845335</v>
      </c>
    </row>
    <row r="9" customFormat="false" ht="15.75" hidden="false" customHeight="false" outlineLevel="0" collapsed="false">
      <c r="A9" s="6" t="n">
        <v>46478</v>
      </c>
      <c r="B9" s="7" t="n">
        <f aca="false">IF(A9&lt;Assumptions!$B$4,Assumptions!$B$3,Assumptions!$B$5)</f>
        <v>2000</v>
      </c>
      <c r="C9" s="7" t="n">
        <v>0</v>
      </c>
      <c r="D9" s="8" t="n">
        <f aca="false">IF(A9=Assumptions!$B$14,Assumptions!$B$13,IF(AND(A9&gt;Assumptions!$B$14,N(I8)&gt;0.5),Assumptions!$B$18,0))</f>
        <v>3062.26917357728</v>
      </c>
      <c r="E9" s="8" t="n">
        <f aca="false">IF(A9=Assumptions!$B$14,Assumptions!$B$10,IF(A9&gt;Assumptions!$B$14,D9-J9,0))</f>
        <v>1606.70901669029</v>
      </c>
      <c r="F9" s="8" t="n">
        <f aca="false">IF(A9=Assumptions!$B$25,Assumptions!$B$24,0)+IF(L9&gt;0,PMT(Assumptions!$B$26/12,(Assumptions!$B$27*12+1-((YEAR(A9)-YEAR(Assumptions!$B$33))*12+MONTH(A9)-MONTH(Assumptions!$B$33))),-L9),0)</f>
        <v>341.669008353051</v>
      </c>
      <c r="G9" s="8" t="n">
        <f aca="false">IF(A9=Assumptions!$B$25,Assumptions!$B$23,0)+IF(L9&gt;0,PMT(Assumptions!$B$26/12,(Assumptions!$B$27*12+1-((YEAR(A9)-YEAR(Assumptions!$B$33))*12+MONTH(A9)-MONTH(Assumptions!$B$33))),-L9),0)-M9</f>
        <v>218.464146372384</v>
      </c>
      <c r="H9" s="9" t="str">
        <f aca="false">IF(A9=Assumptions!$B$25,"Condo: OTP + S&amp;P + 25% equity paid",IF(A9=Assumptions!$B$14,"HDB: completion, downpayment paid",IFERROR("Condo: "&amp;INDEX(Assumptions!$A$33:$A$40,MATCH(A9,Assumptions!$B$33:$B$40,0)),"")))</f>
        <v/>
      </c>
      <c r="I9" s="10" t="n">
        <f aca="false">IF(A9=Assumptions!$B$14,Assumptions!$B$17,IF(A9&gt;Assumptions!$B$14,N(I8)-E9,0))</f>
        <v>670190.286469612</v>
      </c>
      <c r="J9" s="10" t="n">
        <f aca="false">IF(A9&gt;Assumptions!$B$14,N(I8)*Assumptions!$B$15/12,0)</f>
        <v>1455.56015688699</v>
      </c>
      <c r="K9" s="10" t="n">
        <f aca="false">SUMIFS(Assumptions!$D$33:$D$40,Assumptions!$B$33:$B$40,A9)</f>
        <v>0</v>
      </c>
      <c r="L9" s="10" t="n">
        <f aca="false">N(N8)</f>
        <v>98563.8895845335</v>
      </c>
      <c r="M9" s="10" t="n">
        <f aca="false">L9*Assumptions!$B$26/12</f>
        <v>123.204861980667</v>
      </c>
      <c r="N9" s="10" t="n">
        <f aca="false">L9+K9-(IF(L9&gt;0,PMT(Assumptions!$B$26/12,(Assumptions!$B$27*12+1-((YEAR(A9)-YEAR(Assumptions!$B$33))*12+MONTH(A9)-MONTH(Assumptions!$B$33))),-L9),0)-M9)</f>
        <v>98345.4254381611</v>
      </c>
    </row>
    <row r="10" customFormat="false" ht="15.75" hidden="false" customHeight="false" outlineLevel="0" collapsed="false">
      <c r="A10" s="6" t="n">
        <v>46508</v>
      </c>
      <c r="B10" s="7" t="n">
        <f aca="false">IF(A10&lt;Assumptions!$B$4,Assumptions!$B$3,Assumptions!$B$5)</f>
        <v>2000</v>
      </c>
      <c r="C10" s="7" t="n">
        <v>0</v>
      </c>
      <c r="D10" s="8" t="n">
        <f aca="false">IF(A10=Assumptions!$B$14,Assumptions!$B$13,IF(AND(A10&gt;Assumptions!$B$14,N(I9)&gt;0.5),Assumptions!$B$18,0))</f>
        <v>3062.26917357728</v>
      </c>
      <c r="E10" s="8" t="n">
        <f aca="false">IF(A10=Assumptions!$B$14,Assumptions!$B$10,IF(A10&gt;Assumptions!$B$14,D10-J10,0))</f>
        <v>1610.19021955979</v>
      </c>
      <c r="F10" s="8" t="n">
        <f aca="false">IF(A10=Assumptions!$B$25,Assumptions!$B$24,0)+IF(L10&gt;0,PMT(Assumptions!$B$26/12,(Assumptions!$B$27*12+1-((YEAR(A10)-YEAR(Assumptions!$B$33))*12+MONTH(A10)-MONTH(Assumptions!$B$33))),-L10),0)</f>
        <v>341.669008353051</v>
      </c>
      <c r="G10" s="8" t="n">
        <f aca="false">IF(A10=Assumptions!$B$25,Assumptions!$B$23,0)+IF(L10&gt;0,PMT(Assumptions!$B$26/12,(Assumptions!$B$27*12+1-((YEAR(A10)-YEAR(Assumptions!$B$33))*12+MONTH(A10)-MONTH(Assumptions!$B$33))),-L10),0)-M10</f>
        <v>218.737226555349</v>
      </c>
      <c r="H10" s="9" t="str">
        <f aca="false">IF(A10=Assumptions!$B$25,"Condo: OTP + S&amp;P + 25% equity paid",IF(A10=Assumptions!$B$14,"HDB: completion, downpayment paid",IFERROR("Condo: "&amp;INDEX(Assumptions!$A$33:$A$40,MATCH(A10,Assumptions!$B$33:$B$40,0)),"")))</f>
        <v/>
      </c>
      <c r="I10" s="10" t="n">
        <f aca="false">IF(A10=Assumptions!$B$14,Assumptions!$B$17,IF(A10&gt;Assumptions!$B$14,N(I9)-E10,0))</f>
        <v>668580.096250053</v>
      </c>
      <c r="J10" s="10" t="n">
        <f aca="false">IF(A10&gt;Assumptions!$B$14,N(I9)*Assumptions!$B$15/12,0)</f>
        <v>1452.07895401749</v>
      </c>
      <c r="K10" s="10" t="n">
        <f aca="false">SUMIFS(Assumptions!$D$33:$D$40,Assumptions!$B$33:$B$40,A10)</f>
        <v>0</v>
      </c>
      <c r="L10" s="10" t="n">
        <f aca="false">N(N9)</f>
        <v>98345.4254381611</v>
      </c>
      <c r="M10" s="10" t="n">
        <f aca="false">L10*Assumptions!$B$26/12</f>
        <v>122.931781797701</v>
      </c>
      <c r="N10" s="10" t="n">
        <f aca="false">L10+K10-(IF(L10&gt;0,PMT(Assumptions!$B$26/12,(Assumptions!$B$27*12+1-((YEAR(A10)-YEAR(Assumptions!$B$33))*12+MONTH(A10)-MONTH(Assumptions!$B$33))),-L10),0)-M10)</f>
        <v>98126.6882116057</v>
      </c>
    </row>
    <row r="11" customFormat="false" ht="15.75" hidden="false" customHeight="false" outlineLevel="0" collapsed="false">
      <c r="A11" s="6" t="n">
        <v>46539</v>
      </c>
      <c r="B11" s="7" t="n">
        <f aca="false">IF(A11&lt;Assumptions!$B$4,Assumptions!$B$3,Assumptions!$B$5)</f>
        <v>2000</v>
      </c>
      <c r="C11" s="7" t="n">
        <v>0</v>
      </c>
      <c r="D11" s="8" t="n">
        <f aca="false">IF(A11=Assumptions!$B$14,Assumptions!$B$13,IF(AND(A11&gt;Assumptions!$B$14,N(I10)&gt;0.5),Assumptions!$B$18,0))</f>
        <v>3062.26917357728</v>
      </c>
      <c r="E11" s="8" t="n">
        <f aca="false">IF(A11=Assumptions!$B$14,Assumptions!$B$10,IF(A11&gt;Assumptions!$B$14,D11-J11,0))</f>
        <v>1613.6789650355</v>
      </c>
      <c r="F11" s="8" t="n">
        <f aca="false">IF(A11=Assumptions!$B$25,Assumptions!$B$24,0)+IF(L11&gt;0,PMT(Assumptions!$B$26/12,(Assumptions!$B$27*12+1-((YEAR(A11)-YEAR(Assumptions!$B$33))*12+MONTH(A11)-MONTH(Assumptions!$B$33))),-L11),0)</f>
        <v>341.669008353051</v>
      </c>
      <c r="G11" s="8" t="n">
        <f aca="false">IF(A11=Assumptions!$B$25,Assumptions!$B$23,0)+IF(L11&gt;0,PMT(Assumptions!$B$26/12,(Assumptions!$B$27*12+1-((YEAR(A11)-YEAR(Assumptions!$B$33))*12+MONTH(A11)-MONTH(Assumptions!$B$33))),-L11),0)-M11</f>
        <v>219.010648088544</v>
      </c>
      <c r="H11" s="9" t="str">
        <f aca="false">IF(A11=Assumptions!$B$25,"Condo: OTP + S&amp;P + 25% equity paid",IF(A11=Assumptions!$B$14,"HDB: completion, downpayment paid",IFERROR("Condo: "&amp;INDEX(Assumptions!$A$33:$A$40,MATCH(A11,Assumptions!$B$33:$B$40,0)),"")))</f>
        <v/>
      </c>
      <c r="I11" s="10" t="n">
        <f aca="false">IF(A11=Assumptions!$B$14,Assumptions!$B$17,IF(A11&gt;Assumptions!$B$14,N(I10)-E11,0))</f>
        <v>666966.417285017</v>
      </c>
      <c r="J11" s="10" t="n">
        <f aca="false">IF(A11&gt;Assumptions!$B$14,N(I10)*Assumptions!$B$15/12,0)</f>
        <v>1448.59020854178</v>
      </c>
      <c r="K11" s="10" t="n">
        <f aca="false">SUMIFS(Assumptions!$D$33:$D$40,Assumptions!$B$33:$B$40,A11)</f>
        <v>0</v>
      </c>
      <c r="L11" s="10" t="n">
        <f aca="false">N(N10)</f>
        <v>98126.6882116057</v>
      </c>
      <c r="M11" s="10" t="n">
        <f aca="false">L11*Assumptions!$B$26/12</f>
        <v>122.658360264507</v>
      </c>
      <c r="N11" s="10" t="n">
        <f aca="false">L11+K11-(IF(L11&gt;0,PMT(Assumptions!$B$26/12,(Assumptions!$B$27*12+1-((YEAR(A11)-YEAR(Assumptions!$B$33))*12+MONTH(A11)-MONTH(Assumptions!$B$33))),-L11),0)-M11)</f>
        <v>97907.6775635172</v>
      </c>
    </row>
    <row r="12" customFormat="false" ht="15.75" hidden="false" customHeight="false" outlineLevel="0" collapsed="false">
      <c r="A12" s="6" t="n">
        <v>46569</v>
      </c>
      <c r="B12" s="7" t="n">
        <f aca="false">IF(A12&lt;Assumptions!$B$4,Assumptions!$B$3,Assumptions!$B$5)</f>
        <v>2000</v>
      </c>
      <c r="C12" s="7" t="n">
        <v>0</v>
      </c>
      <c r="D12" s="8" t="n">
        <f aca="false">IF(A12=Assumptions!$B$14,Assumptions!$B$13,IF(AND(A12&gt;Assumptions!$B$14,N(I11)&gt;0.5),Assumptions!$B$18,0))</f>
        <v>3062.26917357728</v>
      </c>
      <c r="E12" s="8" t="n">
        <f aca="false">IF(A12=Assumptions!$B$14,Assumptions!$B$10,IF(A12&gt;Assumptions!$B$14,D12-J12,0))</f>
        <v>1617.17526945974</v>
      </c>
      <c r="F12" s="8" t="n">
        <f aca="false">IF(A12=Assumptions!$B$25,Assumptions!$B$24,0)+IF(L12&gt;0,PMT(Assumptions!$B$26/12,(Assumptions!$B$27*12+1-((YEAR(A12)-YEAR(Assumptions!$B$33))*12+MONTH(A12)-MONTH(Assumptions!$B$33))),-L12),0)</f>
        <v>341.669008353051</v>
      </c>
      <c r="G12" s="8" t="n">
        <f aca="false">IF(A12=Assumptions!$B$25,Assumptions!$B$23,0)+IF(L12&gt;0,PMT(Assumptions!$B$26/12,(Assumptions!$B$27*12+1-((YEAR(A12)-YEAR(Assumptions!$B$33))*12+MONTH(A12)-MONTH(Assumptions!$B$33))),-L12),0)-M12</f>
        <v>219.284411398654</v>
      </c>
      <c r="H12" s="9" t="str">
        <f aca="false">IF(A12=Assumptions!$B$25,"Condo: OTP + S&amp;P + 25% equity paid",IF(A12=Assumptions!$B$14,"HDB: completion, downpayment paid",IFERROR("Condo: "&amp;INDEX(Assumptions!$A$33:$A$40,MATCH(A12,Assumptions!$B$33:$B$40,0)),"")))</f>
        <v/>
      </c>
      <c r="I12" s="10" t="n">
        <f aca="false">IF(A12=Assumptions!$B$14,Assumptions!$B$17,IF(A12&gt;Assumptions!$B$14,N(I11)-E12,0))</f>
        <v>665349.242015557</v>
      </c>
      <c r="J12" s="10" t="n">
        <f aca="false">IF(A12&gt;Assumptions!$B$14,N(I11)*Assumptions!$B$15/12,0)</f>
        <v>1445.09390411754</v>
      </c>
      <c r="K12" s="10" t="n">
        <f aca="false">SUMIFS(Assumptions!$D$33:$D$40,Assumptions!$B$33:$B$40,A12)</f>
        <v>0</v>
      </c>
      <c r="L12" s="10" t="n">
        <f aca="false">N(N11)</f>
        <v>97907.6775635172</v>
      </c>
      <c r="M12" s="10" t="n">
        <f aca="false">L12*Assumptions!$B$26/12</f>
        <v>122.384596954396</v>
      </c>
      <c r="N12" s="10" t="n">
        <f aca="false">L12+K12-(IF(L12&gt;0,PMT(Assumptions!$B$26/12,(Assumptions!$B$27*12+1-((YEAR(A12)-YEAR(Assumptions!$B$33))*12+MONTH(A12)-MONTH(Assumptions!$B$33))),-L12),0)-M12)</f>
        <v>97688.3931521185</v>
      </c>
    </row>
    <row r="13" customFormat="false" ht="15.75" hidden="false" customHeight="false" outlineLevel="0" collapsed="false">
      <c r="A13" s="6" t="n">
        <v>46600</v>
      </c>
      <c r="B13" s="7" t="n">
        <f aca="false">IF(A13&lt;Assumptions!$B$4,Assumptions!$B$3,Assumptions!$B$5)</f>
        <v>2000</v>
      </c>
      <c r="C13" s="7" t="n">
        <v>0</v>
      </c>
      <c r="D13" s="8" t="n">
        <f aca="false">IF(A13=Assumptions!$B$14,Assumptions!$B$13,IF(AND(A13&gt;Assumptions!$B$14,N(I12)&gt;0.5),Assumptions!$B$18,0))</f>
        <v>3062.26917357728</v>
      </c>
      <c r="E13" s="8" t="n">
        <f aca="false">IF(A13=Assumptions!$B$14,Assumptions!$B$10,IF(A13&gt;Assumptions!$B$14,D13-J13,0))</f>
        <v>1620.67914921024</v>
      </c>
      <c r="F13" s="8" t="n">
        <f aca="false">IF(A13=Assumptions!$B$25,Assumptions!$B$24,0)+IF(L13&gt;0,PMT(Assumptions!$B$26/12,(Assumptions!$B$27*12+1-((YEAR(A13)-YEAR(Assumptions!$B$33))*12+MONTH(A13)-MONTH(Assumptions!$B$33))),-L13),0)</f>
        <v>341.669008353051</v>
      </c>
      <c r="G13" s="8" t="n">
        <f aca="false">IF(A13=Assumptions!$B$25,Assumptions!$B$23,0)+IF(L13&gt;0,PMT(Assumptions!$B$26/12,(Assumptions!$B$27*12+1-((YEAR(A13)-YEAR(Assumptions!$B$33))*12+MONTH(A13)-MONTH(Assumptions!$B$33))),-L13),0)-M13</f>
        <v>219.558516912903</v>
      </c>
      <c r="H13" s="9" t="str">
        <f aca="false">IF(A13=Assumptions!$B$25,"Condo: OTP + S&amp;P + 25% equity paid",IF(A13=Assumptions!$B$14,"HDB: completion, downpayment paid",IFERROR("Condo: "&amp;INDEX(Assumptions!$A$33:$A$40,MATCH(A13,Assumptions!$B$33:$B$40,0)),"")))</f>
        <v/>
      </c>
      <c r="I13" s="10" t="n">
        <f aca="false">IF(A13=Assumptions!$B$14,Assumptions!$B$17,IF(A13&gt;Assumptions!$B$14,N(I12)-E13,0))</f>
        <v>663728.562866347</v>
      </c>
      <c r="J13" s="10" t="n">
        <f aca="false">IF(A13&gt;Assumptions!$B$14,N(I12)*Assumptions!$B$15/12,0)</f>
        <v>1441.59002436704</v>
      </c>
      <c r="K13" s="10" t="n">
        <f aca="false">SUMIFS(Assumptions!$D$33:$D$40,Assumptions!$B$33:$B$40,A13)</f>
        <v>0</v>
      </c>
      <c r="L13" s="10" t="n">
        <f aca="false">N(N12)</f>
        <v>97688.3931521185</v>
      </c>
      <c r="M13" s="10" t="n">
        <f aca="false">L13*Assumptions!$B$26/12</f>
        <v>122.110491440148</v>
      </c>
      <c r="N13" s="10" t="n">
        <f aca="false">L13+K13-(IF(L13&gt;0,PMT(Assumptions!$B$26/12,(Assumptions!$B$27*12+1-((YEAR(A13)-YEAR(Assumptions!$B$33))*12+MONTH(A13)-MONTH(Assumptions!$B$33))),-L13),0)-M13)</f>
        <v>97468.8346352056</v>
      </c>
    </row>
    <row r="14" customFormat="false" ht="15.75" hidden="false" customHeight="false" outlineLevel="0" collapsed="false">
      <c r="A14" s="6" t="n">
        <v>46631</v>
      </c>
      <c r="B14" s="7" t="n">
        <f aca="false">IF(A14&lt;Assumptions!$B$4,Assumptions!$B$3,Assumptions!$B$5)</f>
        <v>2000</v>
      </c>
      <c r="C14" s="7" t="n">
        <v>0</v>
      </c>
      <c r="D14" s="8" t="n">
        <f aca="false">IF(A14=Assumptions!$B$14,Assumptions!$B$13,IF(AND(A14&gt;Assumptions!$B$14,N(I13)&gt;0.5),Assumptions!$B$18,0))</f>
        <v>3062.26917357728</v>
      </c>
      <c r="E14" s="8" t="n">
        <f aca="false">IF(A14=Assumptions!$B$14,Assumptions!$B$10,IF(A14&gt;Assumptions!$B$14,D14-J14,0))</f>
        <v>1624.1906207002</v>
      </c>
      <c r="F14" s="8" t="n">
        <f aca="false">IF(A14=Assumptions!$B$25,Assumptions!$B$24,0)+IF(L14&gt;0,PMT(Assumptions!$B$26/12,(Assumptions!$B$27*12+1-((YEAR(A14)-YEAR(Assumptions!$B$33))*12+MONTH(A14)-MONTH(Assumptions!$B$33))),-L14),0)</f>
        <v>341.669008353051</v>
      </c>
      <c r="G14" s="8" t="n">
        <f aca="false">IF(A14=Assumptions!$B$25,Assumptions!$B$23,0)+IF(L14&gt;0,PMT(Assumptions!$B$26/12,(Assumptions!$B$27*12+1-((YEAR(A14)-YEAR(Assumptions!$B$33))*12+MONTH(A14)-MONTH(Assumptions!$B$33))),-L14),0)-M14</f>
        <v>219.832965059044</v>
      </c>
      <c r="H14" s="9" t="str">
        <f aca="false">IF(A14=Assumptions!$B$25,"Condo: OTP + S&amp;P + 25% equity paid",IF(A14=Assumptions!$B$14,"HDB: completion, downpayment paid",IFERROR("Condo: "&amp;INDEX(Assumptions!$A$33:$A$40,MATCH(A14,Assumptions!$B$33:$B$40,0)),"")))</f>
        <v/>
      </c>
      <c r="I14" s="10" t="n">
        <f aca="false">IF(A14=Assumptions!$B$14,Assumptions!$B$17,IF(A14&gt;Assumptions!$B$14,N(I13)-E14,0))</f>
        <v>662104.372245647</v>
      </c>
      <c r="J14" s="10" t="n">
        <f aca="false">IF(A14&gt;Assumptions!$B$14,N(I13)*Assumptions!$B$15/12,0)</f>
        <v>1438.07855287709</v>
      </c>
      <c r="K14" s="10" t="n">
        <f aca="false">SUMIFS(Assumptions!$D$33:$D$40,Assumptions!$B$33:$B$40,A14)</f>
        <v>0</v>
      </c>
      <c r="L14" s="10" t="n">
        <f aca="false">N(N13)</f>
        <v>97468.8346352056</v>
      </c>
      <c r="M14" s="10" t="n">
        <f aca="false">L14*Assumptions!$B$26/12</f>
        <v>121.836043294007</v>
      </c>
      <c r="N14" s="10" t="n">
        <f aca="false">L14+K14-(IF(L14&gt;0,PMT(Assumptions!$B$26/12,(Assumptions!$B$27*12+1-((YEAR(A14)-YEAR(Assumptions!$B$33))*12+MONTH(A14)-MONTH(Assumptions!$B$33))),-L14),0)-M14)</f>
        <v>97249.0016701466</v>
      </c>
    </row>
    <row r="15" customFormat="false" ht="15.75" hidden="false" customHeight="false" outlineLevel="0" collapsed="false">
      <c r="A15" s="6" t="n">
        <v>46661</v>
      </c>
      <c r="B15" s="7" t="n">
        <f aca="false">IF(A15&lt;Assumptions!$B$4,Assumptions!$B$3,Assumptions!$B$5)</f>
        <v>2000</v>
      </c>
      <c r="C15" s="7" t="n">
        <v>0</v>
      </c>
      <c r="D15" s="8" t="n">
        <f aca="false">IF(A15=Assumptions!$B$14,Assumptions!$B$13,IF(AND(A15&gt;Assumptions!$B$14,N(I14)&gt;0.5),Assumptions!$B$18,0))</f>
        <v>3062.26917357728</v>
      </c>
      <c r="E15" s="8" t="n">
        <f aca="false">IF(A15=Assumptions!$B$14,Assumptions!$B$10,IF(A15&gt;Assumptions!$B$14,D15-J15,0))</f>
        <v>1627.70970037838</v>
      </c>
      <c r="F15" s="8" t="n">
        <f aca="false">IF(A15=Assumptions!$B$25,Assumptions!$B$24,0)+IF(L15&gt;0,PMT(Assumptions!$B$26/12,(Assumptions!$B$27*12+1-((YEAR(A15)-YEAR(Assumptions!$B$33))*12+MONTH(A15)-MONTH(Assumptions!$B$33))),-L15),0)</f>
        <v>341.669008353051</v>
      </c>
      <c r="G15" s="8" t="n">
        <f aca="false">IF(A15=Assumptions!$B$25,Assumptions!$B$23,0)+IF(L15&gt;0,PMT(Assumptions!$B$26/12,(Assumptions!$B$27*12+1-((YEAR(A15)-YEAR(Assumptions!$B$33))*12+MONTH(A15)-MONTH(Assumptions!$B$33))),-L15),0)-M15</f>
        <v>220.107756265367</v>
      </c>
      <c r="H15" s="9" t="str">
        <f aca="false">IF(A15=Assumptions!$B$25,"Condo: OTP + S&amp;P + 25% equity paid",IF(A15=Assumptions!$B$14,"HDB: completion, downpayment paid",IFERROR("Condo: "&amp;INDEX(Assumptions!$A$33:$A$40,MATCH(A15,Assumptions!$B$33:$B$40,0)),"")))</f>
        <v/>
      </c>
      <c r="I15" s="10" t="n">
        <f aca="false">IF(A15=Assumptions!$B$14,Assumptions!$B$17,IF(A15&gt;Assumptions!$B$14,N(I14)-E15,0))</f>
        <v>660476.662545269</v>
      </c>
      <c r="J15" s="10" t="n">
        <f aca="false">IF(A15&gt;Assumptions!$B$14,N(I14)*Assumptions!$B$15/12,0)</f>
        <v>1434.5594731989</v>
      </c>
      <c r="K15" s="10" t="n">
        <f aca="false">SUMIFS(Assumptions!$D$33:$D$40,Assumptions!$B$33:$B$40,A15)</f>
        <v>0</v>
      </c>
      <c r="L15" s="10" t="n">
        <f aca="false">N(N14)</f>
        <v>97249.0016701466</v>
      </c>
      <c r="M15" s="10" t="n">
        <f aca="false">L15*Assumptions!$B$26/12</f>
        <v>121.561252087683</v>
      </c>
      <c r="N15" s="10" t="n">
        <f aca="false">L15+K15-(IF(L15&gt;0,PMT(Assumptions!$B$26/12,(Assumptions!$B$27*12+1-((YEAR(A15)-YEAR(Assumptions!$B$33))*12+MONTH(A15)-MONTH(Assumptions!$B$33))),-L15),0)-M15)</f>
        <v>97028.8939138812</v>
      </c>
    </row>
    <row r="16" customFormat="false" ht="15.75" hidden="false" customHeight="false" outlineLevel="0" collapsed="false">
      <c r="A16" s="6" t="n">
        <v>46692</v>
      </c>
      <c r="B16" s="7" t="n">
        <f aca="false">IF(A16&lt;Assumptions!$B$4,Assumptions!$B$3,Assumptions!$B$5)</f>
        <v>2000</v>
      </c>
      <c r="C16" s="7" t="n">
        <v>0</v>
      </c>
      <c r="D16" s="8" t="n">
        <f aca="false">IF(A16=Assumptions!$B$14,Assumptions!$B$13,IF(AND(A16&gt;Assumptions!$B$14,N(I15)&gt;0.5),Assumptions!$B$18,0))</f>
        <v>3062.26917357728</v>
      </c>
      <c r="E16" s="8" t="n">
        <f aca="false">IF(A16=Assumptions!$B$14,Assumptions!$B$10,IF(A16&gt;Assumptions!$B$14,D16-J16,0))</f>
        <v>1631.2364047292</v>
      </c>
      <c r="F16" s="8" t="n">
        <f aca="false">IF(A16=Assumptions!$B$25,Assumptions!$B$24,0)+IF(L16&gt;0,PMT(Assumptions!$B$26/12,(Assumptions!$B$27*12+1-((YEAR(A16)-YEAR(Assumptions!$B$33))*12+MONTH(A16)-MONTH(Assumptions!$B$33))),-L16),0)</f>
        <v>341.669008353051</v>
      </c>
      <c r="G16" s="8" t="n">
        <f aca="false">IF(A16=Assumptions!$B$25,Assumptions!$B$23,0)+IF(L16&gt;0,PMT(Assumptions!$B$26/12,(Assumptions!$B$27*12+1-((YEAR(A16)-YEAR(Assumptions!$B$33))*12+MONTH(A16)-MONTH(Assumptions!$B$33))),-L16),0)-M16</f>
        <v>220.382890960699</v>
      </c>
      <c r="H16" s="9" t="str">
        <f aca="false">IF(A16=Assumptions!$B$25,"Condo: OTP + S&amp;P + 25% equity paid",IF(A16=Assumptions!$B$14,"HDB: completion, downpayment paid",IFERROR("Condo: "&amp;INDEX(Assumptions!$A$33:$A$40,MATCH(A16,Assumptions!$B$33:$B$40,0)),"")))</f>
        <v>Condo: Reinforced concrete framework</v>
      </c>
      <c r="I16" s="10" t="n">
        <f aca="false">IF(A16=Assumptions!$B$14,Assumptions!$B$17,IF(A16&gt;Assumptions!$B$14,N(I15)-E16,0))</f>
        <v>658845.426140539</v>
      </c>
      <c r="J16" s="10" t="n">
        <f aca="false">IF(A16&gt;Assumptions!$B$14,N(I15)*Assumptions!$B$15/12,0)</f>
        <v>1431.03276884808</v>
      </c>
      <c r="K16" s="10" t="n">
        <f aca="false">SUMIFS(Assumptions!$D$33:$D$40,Assumptions!$B$33:$B$40,A16)</f>
        <v>198000</v>
      </c>
      <c r="L16" s="10" t="n">
        <f aca="false">N(N15)</f>
        <v>97028.8939138812</v>
      </c>
      <c r="M16" s="10" t="n">
        <f aca="false">L16*Assumptions!$B$26/12</f>
        <v>121.286117392352</v>
      </c>
      <c r="N16" s="10" t="n">
        <f aca="false">L16+K16-(IF(L16&gt;0,PMT(Assumptions!$B$26/12,(Assumptions!$B$27*12+1-((YEAR(A16)-YEAR(Assumptions!$B$33))*12+MONTH(A16)-MONTH(Assumptions!$B$33))),-L16),0)-M16)</f>
        <v>294808.511022921</v>
      </c>
    </row>
    <row r="17" customFormat="false" ht="15.75" hidden="false" customHeight="false" outlineLevel="0" collapsed="false">
      <c r="A17" s="6" t="n">
        <v>46722</v>
      </c>
      <c r="B17" s="7" t="n">
        <f aca="false">IF(A17&lt;Assumptions!$B$4,Assumptions!$B$3,Assumptions!$B$5)</f>
        <v>2000</v>
      </c>
      <c r="C17" s="7" t="n">
        <v>0</v>
      </c>
      <c r="D17" s="8" t="n">
        <f aca="false">IF(A17=Assumptions!$B$14,Assumptions!$B$13,IF(AND(A17&gt;Assumptions!$B$14,N(I16)&gt;0.5),Assumptions!$B$18,0))</f>
        <v>3062.26917357728</v>
      </c>
      <c r="E17" s="8" t="n">
        <f aca="false">IF(A17=Assumptions!$B$14,Assumptions!$B$10,IF(A17&gt;Assumptions!$B$14,D17-J17,0))</f>
        <v>1634.77075027278</v>
      </c>
      <c r="F17" s="8" t="n">
        <f aca="false">IF(A17=Assumptions!$B$25,Assumptions!$B$24,0)+IF(L17&gt;0,PMT(Assumptions!$B$26/12,(Assumptions!$B$27*12+1-((YEAR(A17)-YEAR(Assumptions!$B$33))*12+MONTH(A17)-MONTH(Assumptions!$B$33))),-L17),0)</f>
        <v>1040.47599277085</v>
      </c>
      <c r="G17" s="8" t="n">
        <f aca="false">IF(A17=Assumptions!$B$25,Assumptions!$B$23,0)+IF(L17&gt;0,PMT(Assumptions!$B$26/12,(Assumptions!$B$27*12+1-((YEAR(A17)-YEAR(Assumptions!$B$33))*12+MONTH(A17)-MONTH(Assumptions!$B$33))),-L17),0)-M17</f>
        <v>671.965353992196</v>
      </c>
      <c r="H17" s="9" t="str">
        <f aca="false">IF(A17=Assumptions!$B$25,"Condo: OTP + S&amp;P + 25% equity paid",IF(A17=Assumptions!$B$14,"HDB: completion, downpayment paid",IFERROR("Condo: "&amp;INDEX(Assumptions!$A$33:$A$40,MATCH(A17,Assumptions!$B$33:$B$40,0)),"")))</f>
        <v/>
      </c>
      <c r="I17" s="10" t="n">
        <f aca="false">IF(A17=Assumptions!$B$14,Assumptions!$B$17,IF(A17&gt;Assumptions!$B$14,N(I16)-E17,0))</f>
        <v>657210.655390267</v>
      </c>
      <c r="J17" s="10" t="n">
        <f aca="false">IF(A17&gt;Assumptions!$B$14,N(I16)*Assumptions!$B$15/12,0)</f>
        <v>1427.4984233045</v>
      </c>
      <c r="K17" s="10" t="n">
        <f aca="false">SUMIFS(Assumptions!$D$33:$D$40,Assumptions!$B$33:$B$40,A17)</f>
        <v>0</v>
      </c>
      <c r="L17" s="10" t="n">
        <f aca="false">N(N16)</f>
        <v>294808.511022921</v>
      </c>
      <c r="M17" s="10" t="n">
        <f aca="false">L17*Assumptions!$B$26/12</f>
        <v>368.510638778651</v>
      </c>
      <c r="N17" s="10" t="n">
        <f aca="false">L17+K17-(IF(L17&gt;0,PMT(Assumptions!$B$26/12,(Assumptions!$B$27*12+1-((YEAR(A17)-YEAR(Assumptions!$B$33))*12+MONTH(A17)-MONTH(Assumptions!$B$33))),-L17),0)-M17)</f>
        <v>294136.545668928</v>
      </c>
    </row>
    <row r="18" customFormat="false" ht="15.75" hidden="false" customHeight="false" outlineLevel="0" collapsed="false">
      <c r="A18" s="6" t="n">
        <v>46753</v>
      </c>
      <c r="B18" s="7" t="n">
        <f aca="false">IF(A18&lt;Assumptions!$B$4,Assumptions!$B$3,Assumptions!$B$5)</f>
        <v>2000</v>
      </c>
      <c r="C18" s="7" t="n">
        <v>0</v>
      </c>
      <c r="D18" s="8" t="n">
        <f aca="false">IF(A18=Assumptions!$B$14,Assumptions!$B$13,IF(AND(A18&gt;Assumptions!$B$14,N(I17)&gt;0.5),Assumptions!$B$18,0))</f>
        <v>3062.26917357728</v>
      </c>
      <c r="E18" s="8" t="n">
        <f aca="false">IF(A18=Assumptions!$B$14,Assumptions!$B$10,IF(A18&gt;Assumptions!$B$14,D18-J18,0))</f>
        <v>1638.31275356504</v>
      </c>
      <c r="F18" s="8" t="n">
        <f aca="false">IF(A18=Assumptions!$B$25,Assumptions!$B$24,0)+IF(L18&gt;0,PMT(Assumptions!$B$26/12,(Assumptions!$B$27*12+1-((YEAR(A18)-YEAR(Assumptions!$B$33))*12+MONTH(A18)-MONTH(Assumptions!$B$33))),-L18),0)</f>
        <v>1040.47599277085</v>
      </c>
      <c r="G18" s="8" t="n">
        <f aca="false">IF(A18=Assumptions!$B$25,Assumptions!$B$23,0)+IF(L18&gt;0,PMT(Assumptions!$B$26/12,(Assumptions!$B$27*12+1-((YEAR(A18)-YEAR(Assumptions!$B$33))*12+MONTH(A18)-MONTH(Assumptions!$B$33))),-L18),0)-M18</f>
        <v>672.805310684686</v>
      </c>
      <c r="H18" s="9" t="str">
        <f aca="false">IF(A18=Assumptions!$B$25,"Condo: OTP + S&amp;P + 25% equity paid",IF(A18=Assumptions!$B$14,"HDB: completion, downpayment paid",IFERROR("Condo: "&amp;INDEX(Assumptions!$A$33:$A$40,MATCH(A18,Assumptions!$B$33:$B$40,0)),"")))</f>
        <v/>
      </c>
      <c r="I18" s="10" t="n">
        <f aca="false">IF(A18=Assumptions!$B$14,Assumptions!$B$17,IF(A18&gt;Assumptions!$B$14,N(I17)-E18,0))</f>
        <v>655572.342636702</v>
      </c>
      <c r="J18" s="10" t="n">
        <f aca="false">IF(A18&gt;Assumptions!$B$14,N(I17)*Assumptions!$B$15/12,0)</f>
        <v>1423.95642001224</v>
      </c>
      <c r="K18" s="10" t="n">
        <f aca="false">SUMIFS(Assumptions!$D$33:$D$40,Assumptions!$B$33:$B$40,A18)</f>
        <v>0</v>
      </c>
      <c r="L18" s="10" t="n">
        <f aca="false">N(N17)</f>
        <v>294136.545668928</v>
      </c>
      <c r="M18" s="10" t="n">
        <f aca="false">L18*Assumptions!$B$26/12</f>
        <v>367.67068208616</v>
      </c>
      <c r="N18" s="10" t="n">
        <f aca="false">L18+K18-(IF(L18&gt;0,PMT(Assumptions!$B$26/12,(Assumptions!$B$27*12+1-((YEAR(A18)-YEAR(Assumptions!$B$33))*12+MONTH(A18)-MONTH(Assumptions!$B$33))),-L18),0)-M18)</f>
        <v>293463.740358244</v>
      </c>
    </row>
    <row r="19" customFormat="false" ht="15.75" hidden="false" customHeight="false" outlineLevel="0" collapsed="false">
      <c r="A19" s="6" t="n">
        <v>46784</v>
      </c>
      <c r="B19" s="7" t="n">
        <f aca="false">IF(A19&lt;Assumptions!$B$4,Assumptions!$B$3,Assumptions!$B$5)</f>
        <v>2000</v>
      </c>
      <c r="C19" s="7" t="n">
        <v>0</v>
      </c>
      <c r="D19" s="8" t="n">
        <f aca="false">IF(A19=Assumptions!$B$14,Assumptions!$B$13,IF(AND(A19&gt;Assumptions!$B$14,N(I18)&gt;0.5),Assumptions!$B$18,0))</f>
        <v>3062.26917357728</v>
      </c>
      <c r="E19" s="8" t="n">
        <f aca="false">IF(A19=Assumptions!$B$14,Assumptions!$B$10,IF(A19&gt;Assumptions!$B$14,D19-J19,0))</f>
        <v>1641.86243119776</v>
      </c>
      <c r="F19" s="8" t="n">
        <f aca="false">IF(A19=Assumptions!$B$25,Assumptions!$B$24,0)+IF(L19&gt;0,PMT(Assumptions!$B$26/12,(Assumptions!$B$27*12+1-((YEAR(A19)-YEAR(Assumptions!$B$33))*12+MONTH(A19)-MONTH(Assumptions!$B$33))),-L19),0)</f>
        <v>1040.47599277085</v>
      </c>
      <c r="G19" s="8" t="n">
        <f aca="false">IF(A19=Assumptions!$B$25,Assumptions!$B$23,0)+IF(L19&gt;0,PMT(Assumptions!$B$26/12,(Assumptions!$B$27*12+1-((YEAR(A19)-YEAR(Assumptions!$B$33))*12+MONTH(A19)-MONTH(Assumptions!$B$33))),-L19),0)-M19</f>
        <v>673.646317323042</v>
      </c>
      <c r="H19" s="9" t="str">
        <f aca="false">IF(A19=Assumptions!$B$25,"Condo: OTP + S&amp;P + 25% equity paid",IF(A19=Assumptions!$B$14,"HDB: completion, downpayment paid",IFERROR("Condo: "&amp;INDEX(Assumptions!$A$33:$A$40,MATCH(A19,Assumptions!$B$33:$B$40,0)),"")))</f>
        <v/>
      </c>
      <c r="I19" s="10" t="n">
        <f aca="false">IF(A19=Assumptions!$B$14,Assumptions!$B$17,IF(A19&gt;Assumptions!$B$14,N(I18)-E19,0))</f>
        <v>653930.480205504</v>
      </c>
      <c r="J19" s="10" t="n">
        <f aca="false">IF(A19&gt;Assumptions!$B$14,N(I18)*Assumptions!$B$15/12,0)</f>
        <v>1420.40674237952</v>
      </c>
      <c r="K19" s="10" t="n">
        <f aca="false">SUMIFS(Assumptions!$D$33:$D$40,Assumptions!$B$33:$B$40,A19)</f>
        <v>0</v>
      </c>
      <c r="L19" s="10" t="n">
        <f aca="false">N(N18)</f>
        <v>293463.740358244</v>
      </c>
      <c r="M19" s="10" t="n">
        <f aca="false">L19*Assumptions!$B$26/12</f>
        <v>366.829675447805</v>
      </c>
      <c r="N19" s="10" t="n">
        <f aca="false">L19+K19-(IF(L19&gt;0,PMT(Assumptions!$B$26/12,(Assumptions!$B$27*12+1-((YEAR(A19)-YEAR(Assumptions!$B$33))*12+MONTH(A19)-MONTH(Assumptions!$B$33))),-L19),0)-M19)</f>
        <v>292790.094040921</v>
      </c>
    </row>
    <row r="20" customFormat="false" ht="15.75" hidden="false" customHeight="false" outlineLevel="0" collapsed="false">
      <c r="A20" s="6" t="n">
        <v>46813</v>
      </c>
      <c r="B20" s="7" t="n">
        <f aca="false">IF(A20&lt;Assumptions!$B$4,Assumptions!$B$3,Assumptions!$B$5)</f>
        <v>2000</v>
      </c>
      <c r="C20" s="7" t="n">
        <v>0</v>
      </c>
      <c r="D20" s="8" t="n">
        <f aca="false">IF(A20=Assumptions!$B$14,Assumptions!$B$13,IF(AND(A20&gt;Assumptions!$B$14,N(I19)&gt;0.5),Assumptions!$B$18,0))</f>
        <v>3062.26917357728</v>
      </c>
      <c r="E20" s="8" t="n">
        <f aca="false">IF(A20=Assumptions!$B$14,Assumptions!$B$10,IF(A20&gt;Assumptions!$B$14,D20-J20,0))</f>
        <v>1645.41979979869</v>
      </c>
      <c r="F20" s="8" t="n">
        <f aca="false">IF(A20=Assumptions!$B$25,Assumptions!$B$24,0)+IF(L20&gt;0,PMT(Assumptions!$B$26/12,(Assumptions!$B$27*12+1-((YEAR(A20)-YEAR(Assumptions!$B$33))*12+MONTH(A20)-MONTH(Assumptions!$B$33))),-L20),0)</f>
        <v>1040.47599277085</v>
      </c>
      <c r="G20" s="8" t="n">
        <f aca="false">IF(A20=Assumptions!$B$25,Assumptions!$B$23,0)+IF(L20&gt;0,PMT(Assumptions!$B$26/12,(Assumptions!$B$27*12+1-((YEAR(A20)-YEAR(Assumptions!$B$33))*12+MONTH(A20)-MONTH(Assumptions!$B$33))),-L20),0)-M20</f>
        <v>674.488375219696</v>
      </c>
      <c r="H20" s="9" t="str">
        <f aca="false">IF(A20=Assumptions!$B$25,"Condo: OTP + S&amp;P + 25% equity paid",IF(A20=Assumptions!$B$14,"HDB: completion, downpayment paid",IFERROR("Condo: "&amp;INDEX(Assumptions!$A$33:$A$40,MATCH(A20,Assumptions!$B$33:$B$40,0)),"")))</f>
        <v/>
      </c>
      <c r="I20" s="10" t="n">
        <f aca="false">IF(A20=Assumptions!$B$14,Assumptions!$B$17,IF(A20&gt;Assumptions!$B$14,N(I19)-E20,0))</f>
        <v>652285.060405705</v>
      </c>
      <c r="J20" s="10" t="n">
        <f aca="false">IF(A20&gt;Assumptions!$B$14,N(I19)*Assumptions!$B$15/12,0)</f>
        <v>1416.84937377859</v>
      </c>
      <c r="K20" s="10" t="n">
        <f aca="false">SUMIFS(Assumptions!$D$33:$D$40,Assumptions!$B$33:$B$40,A20)</f>
        <v>0</v>
      </c>
      <c r="L20" s="10" t="n">
        <f aca="false">N(N19)</f>
        <v>292790.094040921</v>
      </c>
      <c r="M20" s="10" t="n">
        <f aca="false">L20*Assumptions!$B$26/12</f>
        <v>365.987617551151</v>
      </c>
      <c r="N20" s="10" t="n">
        <f aca="false">L20+K20-(IF(L20&gt;0,PMT(Assumptions!$B$26/12,(Assumptions!$B$27*12+1-((YEAR(A20)-YEAR(Assumptions!$B$33))*12+MONTH(A20)-MONTH(Assumptions!$B$33))),-L20),0)-M20)</f>
        <v>292115.605665701</v>
      </c>
    </row>
    <row r="21" customFormat="false" ht="15.75" hidden="false" customHeight="false" outlineLevel="0" collapsed="false">
      <c r="A21" s="6" t="n">
        <v>46844</v>
      </c>
      <c r="B21" s="7" t="n">
        <f aca="false">IF(A21&lt;Assumptions!$B$4,Assumptions!$B$3,Assumptions!$B$5)</f>
        <v>2000</v>
      </c>
      <c r="C21" s="7" t="n">
        <v>0</v>
      </c>
      <c r="D21" s="8" t="n">
        <f aca="false">IF(A21=Assumptions!$B$14,Assumptions!$B$13,IF(AND(A21&gt;Assumptions!$B$14,N(I20)&gt;0.5),Assumptions!$B$18,0))</f>
        <v>3062.26917357728</v>
      </c>
      <c r="E21" s="8" t="n">
        <f aca="false">IF(A21=Assumptions!$B$14,Assumptions!$B$10,IF(A21&gt;Assumptions!$B$14,D21-J21,0))</f>
        <v>1648.98487603159</v>
      </c>
      <c r="F21" s="8" t="n">
        <f aca="false">IF(A21=Assumptions!$B$25,Assumptions!$B$24,0)+IF(L21&gt;0,PMT(Assumptions!$B$26/12,(Assumptions!$B$27*12+1-((YEAR(A21)-YEAR(Assumptions!$B$33))*12+MONTH(A21)-MONTH(Assumptions!$B$33))),-L21),0)</f>
        <v>1040.47599277085</v>
      </c>
      <c r="G21" s="8" t="n">
        <f aca="false">IF(A21=Assumptions!$B$25,Assumptions!$B$23,0)+IF(L21&gt;0,PMT(Assumptions!$B$26/12,(Assumptions!$B$27*12+1-((YEAR(A21)-YEAR(Assumptions!$B$33))*12+MONTH(A21)-MONTH(Assumptions!$B$33))),-L21),0)-M21</f>
        <v>675.331485688721</v>
      </c>
      <c r="H21" s="9" t="str">
        <f aca="false">IF(A21=Assumptions!$B$25,"Condo: OTP + S&amp;P + 25% equity paid",IF(A21=Assumptions!$B$14,"HDB: completion, downpayment paid",IFERROR("Condo: "&amp;INDEX(Assumptions!$A$33:$A$40,MATCH(A21,Assumptions!$B$33:$B$40,0)),"")))</f>
        <v>Condo: Brick walls</v>
      </c>
      <c r="I21" s="10" t="n">
        <f aca="false">IF(A21=Assumptions!$B$14,Assumptions!$B$17,IF(A21&gt;Assumptions!$B$14,N(I20)-E21,0))</f>
        <v>650636.075529674</v>
      </c>
      <c r="J21" s="10" t="n">
        <f aca="false">IF(A21&gt;Assumptions!$B$14,N(I20)*Assumptions!$B$15/12,0)</f>
        <v>1413.28429754569</v>
      </c>
      <c r="K21" s="10" t="n">
        <f aca="false">SUMIFS(Assumptions!$D$33:$D$40,Assumptions!$B$33:$B$40,A21)</f>
        <v>99000</v>
      </c>
      <c r="L21" s="10" t="n">
        <f aca="false">N(N20)</f>
        <v>292115.605665701</v>
      </c>
      <c r="M21" s="10" t="n">
        <f aca="false">L21*Assumptions!$B$26/12</f>
        <v>365.144507082126</v>
      </c>
      <c r="N21" s="10" t="n">
        <f aca="false">L21+K21-(IF(L21&gt;0,PMT(Assumptions!$B$26/12,(Assumptions!$B$27*12+1-((YEAR(A21)-YEAR(Assumptions!$B$33))*12+MONTH(A21)-MONTH(Assumptions!$B$33))),-L21),0)-M21)</f>
        <v>390440.274180012</v>
      </c>
    </row>
    <row r="22" customFormat="false" ht="15.75" hidden="false" customHeight="false" outlineLevel="0" collapsed="false">
      <c r="A22" s="6" t="n">
        <v>46874</v>
      </c>
      <c r="B22" s="7" t="n">
        <f aca="false">IF(A22&lt;Assumptions!$B$4,Assumptions!$B$3,Assumptions!$B$5)</f>
        <v>2000</v>
      </c>
      <c r="C22" s="7" t="n">
        <v>0</v>
      </c>
      <c r="D22" s="8" t="n">
        <f aca="false">IF(A22=Assumptions!$B$14,Assumptions!$B$13,IF(AND(A22&gt;Assumptions!$B$14,N(I21)&gt;0.5),Assumptions!$B$18,0))</f>
        <v>3062.26917357728</v>
      </c>
      <c r="E22" s="8" t="n">
        <f aca="false">IF(A22=Assumptions!$B$14,Assumptions!$B$10,IF(A22&gt;Assumptions!$B$14,D22-J22,0))</f>
        <v>1652.55767659632</v>
      </c>
      <c r="F22" s="8" t="n">
        <f aca="false">IF(A22=Assumptions!$B$25,Assumptions!$B$24,0)+IF(L22&gt;0,PMT(Assumptions!$B$26/12,(Assumptions!$B$27*12+1-((YEAR(A22)-YEAR(Assumptions!$B$33))*12+MONTH(A22)-MONTH(Assumptions!$B$33))),-L22),0)</f>
        <v>1393.9176149836</v>
      </c>
      <c r="G22" s="8" t="n">
        <f aca="false">IF(A22=Assumptions!$B$25,Assumptions!$B$23,0)+IF(L22&gt;0,PMT(Assumptions!$B$26/12,(Assumptions!$B$27*12+1-((YEAR(A22)-YEAR(Assumptions!$B$33))*12+MONTH(A22)-MONTH(Assumptions!$B$33))),-L22),0)-M22</f>
        <v>905.867272258587</v>
      </c>
      <c r="H22" s="9" t="str">
        <f aca="false">IF(A22=Assumptions!$B$25,"Condo: OTP + S&amp;P + 25% equity paid",IF(A22=Assumptions!$B$14,"HDB: completion, downpayment paid",IFERROR("Condo: "&amp;INDEX(Assumptions!$A$33:$A$40,MATCH(A22,Assumptions!$B$33:$B$40,0)),"")))</f>
        <v/>
      </c>
      <c r="I22" s="10" t="n">
        <f aca="false">IF(A22=Assumptions!$B$14,Assumptions!$B$17,IF(A22&gt;Assumptions!$B$14,N(I21)-E22,0))</f>
        <v>648983.517853077</v>
      </c>
      <c r="J22" s="10" t="n">
        <f aca="false">IF(A22&gt;Assumptions!$B$14,N(I21)*Assumptions!$B$15/12,0)</f>
        <v>1409.71149698096</v>
      </c>
      <c r="K22" s="10" t="n">
        <f aca="false">SUMIFS(Assumptions!$D$33:$D$40,Assumptions!$B$33:$B$40,A22)</f>
        <v>0</v>
      </c>
      <c r="L22" s="10" t="n">
        <f aca="false">N(N21)</f>
        <v>390440.274180012</v>
      </c>
      <c r="M22" s="10" t="n">
        <f aca="false">L22*Assumptions!$B$26/12</f>
        <v>488.050342725015</v>
      </c>
      <c r="N22" s="10" t="n">
        <f aca="false">L22+K22-(IF(L22&gt;0,PMT(Assumptions!$B$26/12,(Assumptions!$B$27*12+1-((YEAR(A22)-YEAR(Assumptions!$B$33))*12+MONTH(A22)-MONTH(Assumptions!$B$33))),-L22),0)-M22)</f>
        <v>389534.406907754</v>
      </c>
    </row>
    <row r="23" customFormat="false" ht="15.75" hidden="false" customHeight="false" outlineLevel="0" collapsed="false">
      <c r="A23" s="6" t="n">
        <v>46905</v>
      </c>
      <c r="B23" s="7" t="n">
        <f aca="false">IF(A23&lt;Assumptions!$B$4,Assumptions!$B$3,Assumptions!$B$5)</f>
        <v>2000</v>
      </c>
      <c r="C23" s="7" t="n">
        <v>0</v>
      </c>
      <c r="D23" s="8" t="n">
        <f aca="false">IF(A23=Assumptions!$B$14,Assumptions!$B$13,IF(AND(A23&gt;Assumptions!$B$14,N(I22)&gt;0.5),Assumptions!$B$18,0))</f>
        <v>3062.26917357728</v>
      </c>
      <c r="E23" s="8" t="n">
        <f aca="false">IF(A23=Assumptions!$B$14,Assumptions!$B$10,IF(A23&gt;Assumptions!$B$14,D23-J23,0))</f>
        <v>1656.13821822895</v>
      </c>
      <c r="F23" s="8" t="n">
        <f aca="false">IF(A23=Assumptions!$B$25,Assumptions!$B$24,0)+IF(L23&gt;0,PMT(Assumptions!$B$26/12,(Assumptions!$B$27*12+1-((YEAR(A23)-YEAR(Assumptions!$B$33))*12+MONTH(A23)-MONTH(Assumptions!$B$33))),-L23),0)</f>
        <v>1393.9176149836</v>
      </c>
      <c r="G23" s="8" t="n">
        <f aca="false">IF(A23=Assumptions!$B$25,Assumptions!$B$23,0)+IF(L23&gt;0,PMT(Assumptions!$B$26/12,(Assumptions!$B$27*12+1-((YEAR(A23)-YEAR(Assumptions!$B$33))*12+MONTH(A23)-MONTH(Assumptions!$B$33))),-L23),0)-M23</f>
        <v>906.999606348911</v>
      </c>
      <c r="H23" s="9" t="str">
        <f aca="false">IF(A23=Assumptions!$B$25,"Condo: OTP + S&amp;P + 25% equity paid",IF(A23=Assumptions!$B$14,"HDB: completion, downpayment paid",IFERROR("Condo: "&amp;INDEX(Assumptions!$A$33:$A$40,MATCH(A23,Assumptions!$B$33:$B$40,0)),"")))</f>
        <v/>
      </c>
      <c r="I23" s="10" t="n">
        <f aca="false">IF(A23=Assumptions!$B$14,Assumptions!$B$17,IF(A23&gt;Assumptions!$B$14,N(I22)-E23,0))</f>
        <v>647327.379634848</v>
      </c>
      <c r="J23" s="10" t="n">
        <f aca="false">IF(A23&gt;Assumptions!$B$14,N(I22)*Assumptions!$B$15/12,0)</f>
        <v>1406.13095534833</v>
      </c>
      <c r="K23" s="10" t="n">
        <f aca="false">SUMIFS(Assumptions!$D$33:$D$40,Assumptions!$B$33:$B$40,A23)</f>
        <v>0</v>
      </c>
      <c r="L23" s="10" t="n">
        <f aca="false">N(N22)</f>
        <v>389534.406907754</v>
      </c>
      <c r="M23" s="10" t="n">
        <f aca="false">L23*Assumptions!$B$26/12</f>
        <v>486.918008634692</v>
      </c>
      <c r="N23" s="10" t="n">
        <f aca="false">L23+K23-(IF(L23&gt;0,PMT(Assumptions!$B$26/12,(Assumptions!$B$27*12+1-((YEAR(A23)-YEAR(Assumptions!$B$33))*12+MONTH(A23)-MONTH(Assumptions!$B$33))),-L23),0)-M23)</f>
        <v>388627.407301405</v>
      </c>
    </row>
    <row r="24" customFormat="false" ht="15.75" hidden="false" customHeight="false" outlineLevel="0" collapsed="false">
      <c r="A24" s="6" t="n">
        <v>46935</v>
      </c>
      <c r="B24" s="7" t="n">
        <f aca="false">IF(A24&lt;Assumptions!$B$4,Assumptions!$B$3,Assumptions!$B$5)</f>
        <v>2000</v>
      </c>
      <c r="C24" s="7" t="n">
        <v>0</v>
      </c>
      <c r="D24" s="8" t="n">
        <f aca="false">IF(A24=Assumptions!$B$14,Assumptions!$B$13,IF(AND(A24&gt;Assumptions!$B$14,N(I23)&gt;0.5),Assumptions!$B$18,0))</f>
        <v>3062.26917357728</v>
      </c>
      <c r="E24" s="8" t="n">
        <f aca="false">IF(A24=Assumptions!$B$14,Assumptions!$B$10,IF(A24&gt;Assumptions!$B$14,D24-J24,0))</f>
        <v>1659.72651770178</v>
      </c>
      <c r="F24" s="8" t="n">
        <f aca="false">IF(A24=Assumptions!$B$25,Assumptions!$B$24,0)+IF(L24&gt;0,PMT(Assumptions!$B$26/12,(Assumptions!$B$27*12+1-((YEAR(A24)-YEAR(Assumptions!$B$33))*12+MONTH(A24)-MONTH(Assumptions!$B$33))),-L24),0)</f>
        <v>1393.9176149836</v>
      </c>
      <c r="G24" s="8" t="n">
        <f aca="false">IF(A24=Assumptions!$B$25,Assumptions!$B$23,0)+IF(L24&gt;0,PMT(Assumptions!$B$26/12,(Assumptions!$B$27*12+1-((YEAR(A24)-YEAR(Assumptions!$B$33))*12+MONTH(A24)-MONTH(Assumptions!$B$33))),-L24),0)-M24</f>
        <v>908.133355856847</v>
      </c>
      <c r="H24" s="9" t="str">
        <f aca="false">IF(A24=Assumptions!$B$25,"Condo: OTP + S&amp;P + 25% equity paid",IF(A24=Assumptions!$B$14,"HDB: completion, downpayment paid",IFERROR("Condo: "&amp;INDEX(Assumptions!$A$33:$A$40,MATCH(A24,Assumptions!$B$33:$B$40,0)),"")))</f>
        <v/>
      </c>
      <c r="I24" s="10" t="n">
        <f aca="false">IF(A24=Assumptions!$B$14,Assumptions!$B$17,IF(A24&gt;Assumptions!$B$14,N(I23)-E24,0))</f>
        <v>645667.653117147</v>
      </c>
      <c r="J24" s="10" t="n">
        <f aca="false">IF(A24&gt;Assumptions!$B$14,N(I23)*Assumptions!$B$15/12,0)</f>
        <v>1402.5426558755</v>
      </c>
      <c r="K24" s="10" t="n">
        <f aca="false">SUMIFS(Assumptions!$D$33:$D$40,Assumptions!$B$33:$B$40,A24)</f>
        <v>0</v>
      </c>
      <c r="L24" s="10" t="n">
        <f aca="false">N(N23)</f>
        <v>388627.407301405</v>
      </c>
      <c r="M24" s="10" t="n">
        <f aca="false">L24*Assumptions!$B$26/12</f>
        <v>485.784259126756</v>
      </c>
      <c r="N24" s="10" t="n">
        <f aca="false">L24+K24-(IF(L24&gt;0,PMT(Assumptions!$B$26/12,(Assumptions!$B$27*12+1-((YEAR(A24)-YEAR(Assumptions!$B$33))*12+MONTH(A24)-MONTH(Assumptions!$B$33))),-L24),0)-M24)</f>
        <v>387719.273945548</v>
      </c>
    </row>
    <row r="25" customFormat="false" ht="15.75" hidden="false" customHeight="false" outlineLevel="0" collapsed="false">
      <c r="A25" s="6" t="n">
        <v>46966</v>
      </c>
      <c r="B25" s="7" t="n">
        <f aca="false">IF(A25&lt;Assumptions!$B$4,Assumptions!$B$3,Assumptions!$B$5)</f>
        <v>2000</v>
      </c>
      <c r="C25" s="7" t="n">
        <v>0</v>
      </c>
      <c r="D25" s="8" t="n">
        <f aca="false">IF(A25=Assumptions!$B$14,Assumptions!$B$13,IF(AND(A25&gt;Assumptions!$B$14,N(I24)&gt;0.5),Assumptions!$B$18,0))</f>
        <v>3062.26917357728</v>
      </c>
      <c r="E25" s="8" t="n">
        <f aca="false">IF(A25=Assumptions!$B$14,Assumptions!$B$10,IF(A25&gt;Assumptions!$B$14,D25-J25,0))</f>
        <v>1663.32259182346</v>
      </c>
      <c r="F25" s="8" t="n">
        <f aca="false">IF(A25=Assumptions!$B$25,Assumptions!$B$24,0)+IF(L25&gt;0,PMT(Assumptions!$B$26/12,(Assumptions!$B$27*12+1-((YEAR(A25)-YEAR(Assumptions!$B$33))*12+MONTH(A25)-MONTH(Assumptions!$B$33))),-L25),0)</f>
        <v>1393.9176149836</v>
      </c>
      <c r="G25" s="8" t="n">
        <f aca="false">IF(A25=Assumptions!$B$25,Assumptions!$B$23,0)+IF(L25&gt;0,PMT(Assumptions!$B$26/12,(Assumptions!$B$27*12+1-((YEAR(A25)-YEAR(Assumptions!$B$33))*12+MONTH(A25)-MONTH(Assumptions!$B$33))),-L25),0)-M25</f>
        <v>909.268522551667</v>
      </c>
      <c r="H25" s="9" t="str">
        <f aca="false">IF(A25=Assumptions!$B$25,"Condo: OTP + S&amp;P + 25% equity paid",IF(A25=Assumptions!$B$14,"HDB: completion, downpayment paid",IFERROR("Condo: "&amp;INDEX(Assumptions!$A$33:$A$40,MATCH(A25,Assumptions!$B$33:$B$40,0)),"")))</f>
        <v>Condo: Ceiling/roofing</v>
      </c>
      <c r="I25" s="10" t="n">
        <f aca="false">IF(A25=Assumptions!$B$14,Assumptions!$B$17,IF(A25&gt;Assumptions!$B$14,N(I24)-E25,0))</f>
        <v>644004.330525323</v>
      </c>
      <c r="J25" s="10" t="n">
        <f aca="false">IF(A25&gt;Assumptions!$B$14,N(I24)*Assumptions!$B$15/12,0)</f>
        <v>1398.94658175382</v>
      </c>
      <c r="K25" s="10" t="n">
        <f aca="false">SUMIFS(Assumptions!$D$33:$D$40,Assumptions!$B$33:$B$40,A25)</f>
        <v>99000</v>
      </c>
      <c r="L25" s="10" t="n">
        <f aca="false">N(N24)</f>
        <v>387719.273945548</v>
      </c>
      <c r="M25" s="10" t="n">
        <f aca="false">L25*Assumptions!$B$26/12</f>
        <v>484.649092431935</v>
      </c>
      <c r="N25" s="10" t="n">
        <f aca="false">L25+K25-(IF(L25&gt;0,PMT(Assumptions!$B$26/12,(Assumptions!$B$27*12+1-((YEAR(A25)-YEAR(Assumptions!$B$33))*12+MONTH(A25)-MONTH(Assumptions!$B$33))),-L25),0)-M25)</f>
        <v>485810.005422996</v>
      </c>
    </row>
    <row r="26" customFormat="false" ht="15.75" hidden="false" customHeight="false" outlineLevel="0" collapsed="false">
      <c r="A26" s="6" t="n">
        <v>46997</v>
      </c>
      <c r="B26" s="7" t="n">
        <f aca="false">IF(A26&lt;Assumptions!$B$4,Assumptions!$B$3,Assumptions!$B$5)</f>
        <v>2000</v>
      </c>
      <c r="C26" s="7" t="n">
        <v>0</v>
      </c>
      <c r="D26" s="8" t="n">
        <f aca="false">IF(A26=Assumptions!$B$14,Assumptions!$B$13,IF(AND(A26&gt;Assumptions!$B$14,N(I25)&gt;0.5),Assumptions!$B$18,0))</f>
        <v>3062.26917357728</v>
      </c>
      <c r="E26" s="8" t="n">
        <f aca="false">IF(A26=Assumptions!$B$14,Assumptions!$B$10,IF(A26&gt;Assumptions!$B$14,D26-J26,0))</f>
        <v>1666.92645743908</v>
      </c>
      <c r="F26" s="8" t="n">
        <f aca="false">IF(A26=Assumptions!$B$25,Assumptions!$B$24,0)+IF(L26&gt;0,PMT(Assumptions!$B$26/12,(Assumptions!$B$27*12+1-((YEAR(A26)-YEAR(Assumptions!$B$33))*12+MONTH(A26)-MONTH(Assumptions!$B$33))),-L26),0)</f>
        <v>1750.67633877222</v>
      </c>
      <c r="G26" s="8" t="n">
        <f aca="false">IF(A26=Assumptions!$B$25,Assumptions!$B$23,0)+IF(L26&gt;0,PMT(Assumptions!$B$26/12,(Assumptions!$B$27*12+1-((YEAR(A26)-YEAR(Assumptions!$B$33))*12+MONTH(A26)-MONTH(Assumptions!$B$33))),-L26),0)-M26</f>
        <v>1143.41383199347</v>
      </c>
      <c r="H26" s="9" t="str">
        <f aca="false">IF(A26=Assumptions!$B$25,"Condo: OTP + S&amp;P + 25% equity paid",IF(A26=Assumptions!$B$14,"HDB: completion, downpayment paid",IFERROR("Condo: "&amp;INDEX(Assumptions!$A$33:$A$40,MATCH(A26,Assumptions!$B$33:$B$40,0)),"")))</f>
        <v/>
      </c>
      <c r="I26" s="10" t="n">
        <f aca="false">IF(A26=Assumptions!$B$14,Assumptions!$B$17,IF(A26&gt;Assumptions!$B$14,N(I25)-E26,0))</f>
        <v>642337.404067884</v>
      </c>
      <c r="J26" s="10" t="n">
        <f aca="false">IF(A26&gt;Assumptions!$B$14,N(I25)*Assumptions!$B$15/12,0)</f>
        <v>1395.3427161382</v>
      </c>
      <c r="K26" s="10" t="n">
        <f aca="false">SUMIFS(Assumptions!$D$33:$D$40,Assumptions!$B$33:$B$40,A26)</f>
        <v>0</v>
      </c>
      <c r="L26" s="10" t="n">
        <f aca="false">N(N25)</f>
        <v>485810.005422996</v>
      </c>
      <c r="M26" s="10" t="n">
        <f aca="false">L26*Assumptions!$B$26/12</f>
        <v>607.262506778745</v>
      </c>
      <c r="N26" s="10" t="n">
        <f aca="false">L26+K26-(IF(L26&gt;0,PMT(Assumptions!$B$26/12,(Assumptions!$B$27*12+1-((YEAR(A26)-YEAR(Assumptions!$B$33))*12+MONTH(A26)-MONTH(Assumptions!$B$33))),-L26),0)-M26)</f>
        <v>484666.591591003</v>
      </c>
    </row>
    <row r="27" customFormat="false" ht="15.75" hidden="false" customHeight="false" outlineLevel="0" collapsed="false">
      <c r="A27" s="6" t="n">
        <v>47027</v>
      </c>
      <c r="B27" s="7" t="n">
        <f aca="false">IF(A27&lt;Assumptions!$B$4,Assumptions!$B$3,Assumptions!$B$5)</f>
        <v>2000</v>
      </c>
      <c r="C27" s="7" t="n">
        <v>0</v>
      </c>
      <c r="D27" s="8" t="n">
        <f aca="false">IF(A27=Assumptions!$B$14,Assumptions!$B$13,IF(AND(A27&gt;Assumptions!$B$14,N(I26)&gt;0.5),Assumptions!$B$18,0))</f>
        <v>3062.26917357728</v>
      </c>
      <c r="E27" s="8" t="n">
        <f aca="false">IF(A27=Assumptions!$B$14,Assumptions!$B$10,IF(A27&gt;Assumptions!$B$14,D27-J27,0))</f>
        <v>1670.5381314302</v>
      </c>
      <c r="F27" s="8" t="n">
        <f aca="false">IF(A27=Assumptions!$B$25,Assumptions!$B$24,0)+IF(L27&gt;0,PMT(Assumptions!$B$26/12,(Assumptions!$B$27*12+1-((YEAR(A27)-YEAR(Assumptions!$B$33))*12+MONTH(A27)-MONTH(Assumptions!$B$33))),-L27),0)</f>
        <v>1750.67633877222</v>
      </c>
      <c r="G27" s="8" t="n">
        <f aca="false">IF(A27=Assumptions!$B$25,Assumptions!$B$23,0)+IF(L27&gt;0,PMT(Assumptions!$B$26/12,(Assumptions!$B$27*12+1-((YEAR(A27)-YEAR(Assumptions!$B$33))*12+MONTH(A27)-MONTH(Assumptions!$B$33))),-L27),0)-M27</f>
        <v>1144.84309928347</v>
      </c>
      <c r="H27" s="9" t="str">
        <f aca="false">IF(A27=Assumptions!$B$25,"Condo: OTP + S&amp;P + 25% equity paid",IF(A27=Assumptions!$B$14,"HDB: completion, downpayment paid",IFERROR("Condo: "&amp;INDEX(Assumptions!$A$33:$A$40,MATCH(A27,Assumptions!$B$33:$B$40,0)),"")))</f>
        <v/>
      </c>
      <c r="I27" s="10" t="n">
        <f aca="false">IF(A27=Assumptions!$B$14,Assumptions!$B$17,IF(A27&gt;Assumptions!$B$14,N(I26)-E27,0))</f>
        <v>640666.865936454</v>
      </c>
      <c r="J27" s="10" t="n">
        <f aca="false">IF(A27&gt;Assumptions!$B$14,N(I26)*Assumptions!$B$15/12,0)</f>
        <v>1391.73104214708</v>
      </c>
      <c r="K27" s="10" t="n">
        <f aca="false">SUMIFS(Assumptions!$D$33:$D$40,Assumptions!$B$33:$B$40,A27)</f>
        <v>0</v>
      </c>
      <c r="L27" s="10" t="n">
        <f aca="false">N(N26)</f>
        <v>484666.591591003</v>
      </c>
      <c r="M27" s="10" t="n">
        <f aca="false">L27*Assumptions!$B$26/12</f>
        <v>605.833239488753</v>
      </c>
      <c r="N27" s="10" t="n">
        <f aca="false">L27+K27-(IF(L27&gt;0,PMT(Assumptions!$B$26/12,(Assumptions!$B$27*12+1-((YEAR(A27)-YEAR(Assumptions!$B$33))*12+MONTH(A27)-MONTH(Assumptions!$B$33))),-L27),0)-M27)</f>
        <v>483521.748491719</v>
      </c>
    </row>
    <row r="28" customFormat="false" ht="15.75" hidden="false" customHeight="false" outlineLevel="0" collapsed="false">
      <c r="A28" s="6" t="n">
        <v>47058</v>
      </c>
      <c r="B28" s="7" t="n">
        <f aca="false">IF(A28&lt;Assumptions!$B$4,Assumptions!$B$3,Assumptions!$B$5)</f>
        <v>2000</v>
      </c>
      <c r="C28" s="7" t="n">
        <v>0</v>
      </c>
      <c r="D28" s="8" t="n">
        <f aca="false">IF(A28=Assumptions!$B$14,Assumptions!$B$13,IF(AND(A28&gt;Assumptions!$B$14,N(I27)&gt;0.5),Assumptions!$B$18,0))</f>
        <v>3062.26917357728</v>
      </c>
      <c r="E28" s="8" t="n">
        <f aca="false">IF(A28=Assumptions!$B$14,Assumptions!$B$10,IF(A28&gt;Assumptions!$B$14,D28-J28,0))</f>
        <v>1674.15763071496</v>
      </c>
      <c r="F28" s="8" t="n">
        <f aca="false">IF(A28=Assumptions!$B$25,Assumptions!$B$24,0)+IF(L28&gt;0,PMT(Assumptions!$B$26/12,(Assumptions!$B$27*12+1-((YEAR(A28)-YEAR(Assumptions!$B$33))*12+MONTH(A28)-MONTH(Assumptions!$B$33))),-L28),0)</f>
        <v>1750.67633877222</v>
      </c>
      <c r="G28" s="8" t="n">
        <f aca="false">IF(A28=Assumptions!$B$25,Assumptions!$B$23,0)+IF(L28&gt;0,PMT(Assumptions!$B$26/12,(Assumptions!$B$27*12+1-((YEAR(A28)-YEAR(Assumptions!$B$33))*12+MONTH(A28)-MONTH(Assumptions!$B$33))),-L28),0)-M28</f>
        <v>1146.27415315757</v>
      </c>
      <c r="H28" s="9" t="str">
        <f aca="false">IF(A28=Assumptions!$B$25,"Condo: OTP + S&amp;P + 25% equity paid",IF(A28=Assumptions!$B$14,"HDB: completion, downpayment paid",IFERROR("Condo: "&amp;INDEX(Assumptions!$A$33:$A$40,MATCH(A28,Assumptions!$B$33:$B$40,0)),"")))</f>
        <v>Condo: Electrical wiring/plumbing/windows</v>
      </c>
      <c r="I28" s="10" t="n">
        <f aca="false">IF(A28=Assumptions!$B$14,Assumptions!$B$17,IF(A28&gt;Assumptions!$B$14,N(I27)-E28,0))</f>
        <v>638992.708305739</v>
      </c>
      <c r="J28" s="10" t="n">
        <f aca="false">IF(A28&gt;Assumptions!$B$14,N(I27)*Assumptions!$B$15/12,0)</f>
        <v>1388.11154286232</v>
      </c>
      <c r="K28" s="10" t="n">
        <f aca="false">SUMIFS(Assumptions!$D$33:$D$40,Assumptions!$B$33:$B$40,A28)</f>
        <v>99000</v>
      </c>
      <c r="L28" s="10" t="n">
        <f aca="false">N(N27)</f>
        <v>483521.748491719</v>
      </c>
      <c r="M28" s="10" t="n">
        <f aca="false">L28*Assumptions!$B$26/12</f>
        <v>604.402185614649</v>
      </c>
      <c r="N28" s="10" t="n">
        <f aca="false">L28+K28-(IF(L28&gt;0,PMT(Assumptions!$B$26/12,(Assumptions!$B$27*12+1-((YEAR(A28)-YEAR(Assumptions!$B$33))*12+MONTH(A28)-MONTH(Assumptions!$B$33))),-L28),0)-M28)</f>
        <v>581375.474338562</v>
      </c>
    </row>
    <row r="29" customFormat="false" ht="15.75" hidden="false" customHeight="false" outlineLevel="0" collapsed="false">
      <c r="A29" s="6" t="n">
        <v>47088</v>
      </c>
      <c r="B29" s="7" t="n">
        <f aca="false">IF(A29&lt;Assumptions!$B$4,Assumptions!$B$3,Assumptions!$B$5)</f>
        <v>2000</v>
      </c>
      <c r="C29" s="7" t="n">
        <v>0</v>
      </c>
      <c r="D29" s="8" t="n">
        <f aca="false">IF(A29=Assumptions!$B$14,Assumptions!$B$13,IF(AND(A29&gt;Assumptions!$B$14,N(I28)&gt;0.5),Assumptions!$B$18,0))</f>
        <v>3062.26917357728</v>
      </c>
      <c r="E29" s="8" t="n">
        <f aca="false">IF(A29=Assumptions!$B$14,Assumptions!$B$10,IF(A29&gt;Assumptions!$B$14,D29-J29,0))</f>
        <v>1677.78497224818</v>
      </c>
      <c r="F29" s="8" t="n">
        <f aca="false">IF(A29=Assumptions!$B$25,Assumptions!$B$24,0)+IF(L29&gt;0,PMT(Assumptions!$B$26/12,(Assumptions!$B$27*12+1-((YEAR(A29)-YEAR(Assumptions!$B$33))*12+MONTH(A29)-MONTH(Assumptions!$B$33))),-L29),0)</f>
        <v>2109.97519777019</v>
      </c>
      <c r="G29" s="8" t="n">
        <f aca="false">IF(A29=Assumptions!$B$25,Assumptions!$B$23,0)+IF(L29&gt;0,PMT(Assumptions!$B$26/12,(Assumptions!$B$27*12+1-((YEAR(A29)-YEAR(Assumptions!$B$33))*12+MONTH(A29)-MONTH(Assumptions!$B$33))),-L29),0)-M29</f>
        <v>1383.25585484699</v>
      </c>
      <c r="H29" s="9" t="str">
        <f aca="false">IF(A29=Assumptions!$B$25,"Condo: OTP + S&amp;P + 25% equity paid",IF(A29=Assumptions!$B$14,"HDB: completion, downpayment paid",IFERROR("Condo: "&amp;INDEX(Assumptions!$A$33:$A$40,MATCH(A29,Assumptions!$B$33:$B$40,0)),"")))</f>
        <v/>
      </c>
      <c r="I29" s="10" t="n">
        <f aca="false">IF(A29=Assumptions!$B$14,Assumptions!$B$17,IF(A29&gt;Assumptions!$B$14,N(I28)-E29,0))</f>
        <v>637314.923333491</v>
      </c>
      <c r="J29" s="10" t="n">
        <f aca="false">IF(A29&gt;Assumptions!$B$14,N(I28)*Assumptions!$B$15/12,0)</f>
        <v>1384.4842013291</v>
      </c>
      <c r="K29" s="10" t="n">
        <f aca="false">SUMIFS(Assumptions!$D$33:$D$40,Assumptions!$B$33:$B$40,A29)</f>
        <v>0</v>
      </c>
      <c r="L29" s="10" t="n">
        <f aca="false">N(N28)</f>
        <v>581375.474338562</v>
      </c>
      <c r="M29" s="10" t="n">
        <f aca="false">L29*Assumptions!$B$26/12</f>
        <v>726.719342923202</v>
      </c>
      <c r="N29" s="10" t="n">
        <f aca="false">L29+K29-(IF(L29&gt;0,PMT(Assumptions!$B$26/12,(Assumptions!$B$27*12+1-((YEAR(A29)-YEAR(Assumptions!$B$33))*12+MONTH(A29)-MONTH(Assumptions!$B$33))),-L29),0)-M29)</f>
        <v>579992.218483715</v>
      </c>
    </row>
    <row r="30" customFormat="false" ht="15.75" hidden="false" customHeight="false" outlineLevel="0" collapsed="false">
      <c r="A30" s="6" t="n">
        <v>47119</v>
      </c>
      <c r="B30" s="7" t="n">
        <f aca="false">IF(A30&lt;Assumptions!$B$4,Assumptions!$B$3,Assumptions!$B$5)</f>
        <v>2000</v>
      </c>
      <c r="C30" s="7" t="n">
        <v>0</v>
      </c>
      <c r="D30" s="8" t="n">
        <f aca="false">IF(A30=Assumptions!$B$14,Assumptions!$B$13,IF(AND(A30&gt;Assumptions!$B$14,N(I29)&gt;0.5),Assumptions!$B$18,0))</f>
        <v>3062.26917357728</v>
      </c>
      <c r="E30" s="8" t="n">
        <f aca="false">IF(A30=Assumptions!$B$14,Assumptions!$B$10,IF(A30&gt;Assumptions!$B$14,D30-J30,0))</f>
        <v>1681.42017302138</v>
      </c>
      <c r="F30" s="8" t="n">
        <f aca="false">IF(A30=Assumptions!$B$25,Assumptions!$B$24,0)+IF(L30&gt;0,PMT(Assumptions!$B$26/12,(Assumptions!$B$27*12+1-((YEAR(A30)-YEAR(Assumptions!$B$33))*12+MONTH(A30)-MONTH(Assumptions!$B$33))),-L30),0)</f>
        <v>2109.97519777019</v>
      </c>
      <c r="G30" s="8" t="n">
        <f aca="false">IF(A30=Assumptions!$B$25,Assumptions!$B$23,0)+IF(L30&gt;0,PMT(Assumptions!$B$26/12,(Assumptions!$B$27*12+1-((YEAR(A30)-YEAR(Assumptions!$B$33))*12+MONTH(A30)-MONTH(Assumptions!$B$33))),-L30),0)-M30</f>
        <v>1384.98492466555</v>
      </c>
      <c r="H30" s="9" t="str">
        <f aca="false">IF(A30=Assumptions!$B$25,"Condo: OTP + S&amp;P + 25% equity paid",IF(A30=Assumptions!$B$14,"HDB: completion, downpayment paid",IFERROR("Condo: "&amp;INDEX(Assumptions!$A$33:$A$40,MATCH(A30,Assumptions!$B$33:$B$40,0)),"")))</f>
        <v/>
      </c>
      <c r="I30" s="10" t="n">
        <f aca="false">IF(A30=Assumptions!$B$14,Assumptions!$B$17,IF(A30&gt;Assumptions!$B$14,N(I29)-E30,0))</f>
        <v>635633.503160469</v>
      </c>
      <c r="J30" s="10" t="n">
        <f aca="false">IF(A30&gt;Assumptions!$B$14,N(I29)*Assumptions!$B$15/12,0)</f>
        <v>1380.8490005559</v>
      </c>
      <c r="K30" s="10" t="n">
        <f aca="false">SUMIFS(Assumptions!$D$33:$D$40,Assumptions!$B$33:$B$40,A30)</f>
        <v>0</v>
      </c>
      <c r="L30" s="10" t="n">
        <f aca="false">N(N29)</f>
        <v>579992.218483715</v>
      </c>
      <c r="M30" s="10" t="n">
        <f aca="false">L30*Assumptions!$B$26/12</f>
        <v>724.990273104643</v>
      </c>
      <c r="N30" s="10" t="n">
        <f aca="false">L30+K30-(IF(L30&gt;0,PMT(Assumptions!$B$26/12,(Assumptions!$B$27*12+1-((YEAR(A30)-YEAR(Assumptions!$B$33))*12+MONTH(A30)-MONTH(Assumptions!$B$33))),-L30),0)-M30)</f>
        <v>578607.233559049</v>
      </c>
    </row>
    <row r="31" customFormat="false" ht="15.75" hidden="false" customHeight="false" outlineLevel="0" collapsed="false">
      <c r="A31" s="6" t="n">
        <v>47150</v>
      </c>
      <c r="B31" s="7" t="n">
        <f aca="false">IF(A31&lt;Assumptions!$B$4,Assumptions!$B$3,Assumptions!$B$5)</f>
        <v>2000</v>
      </c>
      <c r="C31" s="7" t="n">
        <v>0</v>
      </c>
      <c r="D31" s="8" t="n">
        <f aca="false">IF(A31=Assumptions!$B$14,Assumptions!$B$13,IF(AND(A31&gt;Assumptions!$B$14,N(I30)&gt;0.5),Assumptions!$B$18,0))</f>
        <v>3062.26917357728</v>
      </c>
      <c r="E31" s="8" t="n">
        <f aca="false">IF(A31=Assumptions!$B$14,Assumptions!$B$10,IF(A31&gt;Assumptions!$B$14,D31-J31,0))</f>
        <v>1685.06325006293</v>
      </c>
      <c r="F31" s="8" t="n">
        <f aca="false">IF(A31=Assumptions!$B$25,Assumptions!$B$24,0)+IF(L31&gt;0,PMT(Assumptions!$B$26/12,(Assumptions!$B$27*12+1-((YEAR(A31)-YEAR(Assumptions!$B$33))*12+MONTH(A31)-MONTH(Assumptions!$B$33))),-L31),0)</f>
        <v>2109.97519777019</v>
      </c>
      <c r="G31" s="8" t="n">
        <f aca="false">IF(A31=Assumptions!$B$25,Assumptions!$B$23,0)+IF(L31&gt;0,PMT(Assumptions!$B$26/12,(Assumptions!$B$27*12+1-((YEAR(A31)-YEAR(Assumptions!$B$33))*12+MONTH(A31)-MONTH(Assumptions!$B$33))),-L31),0)-M31</f>
        <v>1386.71615582138</v>
      </c>
      <c r="H31" s="9" t="str">
        <f aca="false">IF(A31=Assumptions!$B$25,"Condo: OTP + S&amp;P + 25% equity paid",IF(A31=Assumptions!$B$14,"HDB: completion, downpayment paid",IFERROR("Condo: "&amp;INDEX(Assumptions!$A$33:$A$40,MATCH(A31,Assumptions!$B$33:$B$40,0)),"")))</f>
        <v>Condo: Carparks/roads/drains</v>
      </c>
      <c r="I31" s="10" t="n">
        <f aca="false">IF(A31=Assumptions!$B$14,Assumptions!$B$17,IF(A31&gt;Assumptions!$B$14,N(I30)-E31,0))</f>
        <v>633948.439910406</v>
      </c>
      <c r="J31" s="10" t="n">
        <f aca="false">IF(A31&gt;Assumptions!$B$14,N(I30)*Assumptions!$B$15/12,0)</f>
        <v>1377.20592351435</v>
      </c>
      <c r="K31" s="10" t="n">
        <f aca="false">SUMIFS(Assumptions!$D$33:$D$40,Assumptions!$B$33:$B$40,A31)</f>
        <v>99000</v>
      </c>
      <c r="L31" s="10" t="n">
        <f aca="false">N(N30)</f>
        <v>578607.233559049</v>
      </c>
      <c r="M31" s="10" t="n">
        <f aca="false">L31*Assumptions!$B$26/12</f>
        <v>723.259041948811</v>
      </c>
      <c r="N31" s="10" t="n">
        <f aca="false">L31+K31-(IF(L31&gt;0,PMT(Assumptions!$B$26/12,(Assumptions!$B$27*12+1-((YEAR(A31)-YEAR(Assumptions!$B$33))*12+MONTH(A31)-MONTH(Assumptions!$B$33))),-L31),0)-M31)</f>
        <v>676220.517403228</v>
      </c>
    </row>
    <row r="32" customFormat="false" ht="15.75" hidden="false" customHeight="false" outlineLevel="0" collapsed="false">
      <c r="A32" s="6" t="n">
        <v>47178</v>
      </c>
      <c r="B32" s="7" t="n">
        <f aca="false">IF(A32&lt;Assumptions!$B$4,Assumptions!$B$3,Assumptions!$B$5)</f>
        <v>2000</v>
      </c>
      <c r="C32" s="7" t="n">
        <v>0</v>
      </c>
      <c r="D32" s="8" t="n">
        <f aca="false">IF(A32=Assumptions!$B$14,Assumptions!$B$13,IF(AND(A32&gt;Assumptions!$B$14,N(I31)&gt;0.5),Assumptions!$B$18,0))</f>
        <v>3062.26917357728</v>
      </c>
      <c r="E32" s="8" t="n">
        <f aca="false">IF(A32=Assumptions!$B$14,Assumptions!$B$10,IF(A32&gt;Assumptions!$B$14,D32-J32,0))</f>
        <v>1688.71422043807</v>
      </c>
      <c r="F32" s="8" t="n">
        <f aca="false">IF(A32=Assumptions!$B$25,Assumptions!$B$24,0)+IF(L32&gt;0,PMT(Assumptions!$B$26/12,(Assumptions!$B$27*12+1-((YEAR(A32)-YEAR(Assumptions!$B$33))*12+MONTH(A32)-MONTH(Assumptions!$B$33))),-L32),0)</f>
        <v>2471.86036692354</v>
      </c>
      <c r="G32" s="8" t="n">
        <f aca="false">IF(A32=Assumptions!$B$25,Assumptions!$B$23,0)+IF(L32&gt;0,PMT(Assumptions!$B$26/12,(Assumptions!$B$27*12+1-((YEAR(A32)-YEAR(Assumptions!$B$33))*12+MONTH(A32)-MONTH(Assumptions!$B$33))),-L32),0)-M32</f>
        <v>1626.5847201695</v>
      </c>
      <c r="H32" s="9" t="str">
        <f aca="false">IF(A32=Assumptions!$B$25,"Condo: OTP + S&amp;P + 25% equity paid",IF(A32=Assumptions!$B$14,"HDB: completion, downpayment paid",IFERROR("Condo: "&amp;INDEX(Assumptions!$A$33:$A$40,MATCH(A32,Assumptions!$B$33:$B$40,0)),"")))</f>
        <v/>
      </c>
      <c r="I32" s="10" t="n">
        <f aca="false">IF(A32=Assumptions!$B$14,Assumptions!$B$17,IF(A32&gt;Assumptions!$B$14,N(I31)-E32,0))</f>
        <v>632259.725689968</v>
      </c>
      <c r="J32" s="10" t="n">
        <f aca="false">IF(A32&gt;Assumptions!$B$14,N(I31)*Assumptions!$B$15/12,0)</f>
        <v>1373.55495313921</v>
      </c>
      <c r="K32" s="10" t="n">
        <f aca="false">SUMIFS(Assumptions!$D$33:$D$40,Assumptions!$B$33:$B$40,A32)</f>
        <v>0</v>
      </c>
      <c r="L32" s="10" t="n">
        <f aca="false">N(N31)</f>
        <v>676220.517403228</v>
      </c>
      <c r="M32" s="10" t="n">
        <f aca="false">L32*Assumptions!$B$26/12</f>
        <v>845.275646754035</v>
      </c>
      <c r="N32" s="10" t="n">
        <f aca="false">L32+K32-(IF(L32&gt;0,PMT(Assumptions!$B$26/12,(Assumptions!$B$27*12+1-((YEAR(A32)-YEAR(Assumptions!$B$33))*12+MONTH(A32)-MONTH(Assumptions!$B$33))),-L32),0)-M32)</f>
        <v>674593.932683058</v>
      </c>
    </row>
    <row r="33" customFormat="false" ht="15.75" hidden="false" customHeight="false" outlineLevel="0" collapsed="false">
      <c r="A33" s="6" t="n">
        <v>47209</v>
      </c>
      <c r="B33" s="7" t="n">
        <f aca="false">IF(A33&lt;Assumptions!$B$4,Assumptions!$B$3,Assumptions!$B$5)</f>
        <v>2000</v>
      </c>
      <c r="C33" s="7" t="n">
        <v>0</v>
      </c>
      <c r="D33" s="8" t="n">
        <f aca="false">IF(A33=Assumptions!$B$14,Assumptions!$B$13,IF(AND(A33&gt;Assumptions!$B$14,N(I32)&gt;0.5),Assumptions!$B$18,0))</f>
        <v>3062.26917357728</v>
      </c>
      <c r="E33" s="8" t="n">
        <f aca="false">IF(A33=Assumptions!$B$14,Assumptions!$B$10,IF(A33&gt;Assumptions!$B$14,D33-J33,0))</f>
        <v>1692.37310124902</v>
      </c>
      <c r="F33" s="8" t="n">
        <f aca="false">IF(A33=Assumptions!$B$25,Assumptions!$B$24,0)+IF(L33&gt;0,PMT(Assumptions!$B$26/12,(Assumptions!$B$27*12+1-((YEAR(A33)-YEAR(Assumptions!$B$33))*12+MONTH(A33)-MONTH(Assumptions!$B$33))),-L33),0)</f>
        <v>2471.86036692354</v>
      </c>
      <c r="G33" s="8" t="n">
        <f aca="false">IF(A33=Assumptions!$B$25,Assumptions!$B$23,0)+IF(L33&gt;0,PMT(Assumptions!$B$26/12,(Assumptions!$B$27*12+1-((YEAR(A33)-YEAR(Assumptions!$B$33))*12+MONTH(A33)-MONTH(Assumptions!$B$33))),-L33),0)-M33</f>
        <v>1628.61795106971</v>
      </c>
      <c r="H33" s="9" t="str">
        <f aca="false">IF(A33=Assumptions!$B$25,"Condo: OTP + S&amp;P + 25% equity paid",IF(A33=Assumptions!$B$14,"HDB: completion, downpayment paid",IFERROR("Condo: "&amp;INDEX(Assumptions!$A$33:$A$40,MATCH(A33,Assumptions!$B$33:$B$40,0)),"")))</f>
        <v>Condo: TOP</v>
      </c>
      <c r="I33" s="10" t="n">
        <f aca="false">IF(A33=Assumptions!$B$14,Assumptions!$B$17,IF(A33&gt;Assumptions!$B$14,N(I32)-E33,0))</f>
        <v>630567.352588719</v>
      </c>
      <c r="J33" s="10" t="n">
        <f aca="false">IF(A33&gt;Assumptions!$B$14,N(I32)*Assumptions!$B$15/12,0)</f>
        <v>1369.89607232826</v>
      </c>
      <c r="K33" s="10" t="n">
        <f aca="false">SUMIFS(Assumptions!$D$33:$D$40,Assumptions!$B$33:$B$40,A33)</f>
        <v>495000</v>
      </c>
      <c r="L33" s="10" t="n">
        <f aca="false">N(N32)</f>
        <v>674593.932683058</v>
      </c>
      <c r="M33" s="10" t="n">
        <f aca="false">L33*Assumptions!$B$26/12</f>
        <v>843.242415853823</v>
      </c>
      <c r="N33" s="10" t="n">
        <f aca="false">L33+K33-(IF(L33&gt;0,PMT(Assumptions!$B$26/12,(Assumptions!$B$27*12+1-((YEAR(A33)-YEAR(Assumptions!$B$33))*12+MONTH(A33)-MONTH(Assumptions!$B$33))),-L33),0)-M33)</f>
        <v>1167965.31473199</v>
      </c>
    </row>
    <row r="34" customFormat="false" ht="15.75" hidden="false" customHeight="false" outlineLevel="0" collapsed="false">
      <c r="A34" s="6" t="n">
        <v>47239</v>
      </c>
      <c r="B34" s="7" t="n">
        <f aca="false">IF(A34&lt;Assumptions!$B$4,Assumptions!$B$3,Assumptions!$B$5)</f>
        <v>2000</v>
      </c>
      <c r="C34" s="7" t="n">
        <v>0</v>
      </c>
      <c r="D34" s="8" t="n">
        <f aca="false">IF(A34=Assumptions!$B$14,Assumptions!$B$13,IF(AND(A34&gt;Assumptions!$B$14,N(I33)&gt;0.5),Assumptions!$B$18,0))</f>
        <v>3062.26917357728</v>
      </c>
      <c r="E34" s="8" t="n">
        <f aca="false">IF(A34=Assumptions!$B$14,Assumptions!$B$10,IF(A34&gt;Assumptions!$B$14,D34-J34,0))</f>
        <v>1696.03990963506</v>
      </c>
      <c r="F34" s="8" t="n">
        <f aca="false">IF(A34=Assumptions!$B$25,Assumptions!$B$24,0)+IF(L34&gt;0,PMT(Assumptions!$B$26/12,(Assumptions!$B$27*12+1-((YEAR(A34)-YEAR(Assumptions!$B$33))*12+MONTH(A34)-MONTH(Assumptions!$B$33))),-L34),0)</f>
        <v>4290.03859222248</v>
      </c>
      <c r="G34" s="8" t="n">
        <f aca="false">IF(A34=Assumptions!$B$25,Assumptions!$B$23,0)+IF(L34&gt;0,PMT(Assumptions!$B$26/12,(Assumptions!$B$27*12+1-((YEAR(A34)-YEAR(Assumptions!$B$33))*12+MONTH(A34)-MONTH(Assumptions!$B$33))),-L34),0)-M34</f>
        <v>2830.08194880749</v>
      </c>
      <c r="H34" s="9" t="str">
        <f aca="false">IF(A34=Assumptions!$B$25,"Condo: OTP + S&amp;P + 25% equity paid",IF(A34=Assumptions!$B$14,"HDB: completion, downpayment paid",IFERROR("Condo: "&amp;INDEX(Assumptions!$A$33:$A$40,MATCH(A34,Assumptions!$B$33:$B$40,0)),"")))</f>
        <v/>
      </c>
      <c r="I34" s="10" t="n">
        <f aca="false">IF(A34=Assumptions!$B$14,Assumptions!$B$17,IF(A34&gt;Assumptions!$B$14,N(I33)-E34,0))</f>
        <v>628871.312679084</v>
      </c>
      <c r="J34" s="10" t="n">
        <f aca="false">IF(A34&gt;Assumptions!$B$14,N(I33)*Assumptions!$B$15/12,0)</f>
        <v>1366.22926394223</v>
      </c>
      <c r="K34" s="10" t="n">
        <f aca="false">SUMIFS(Assumptions!$D$33:$D$40,Assumptions!$B$33:$B$40,A34)</f>
        <v>0</v>
      </c>
      <c r="L34" s="10" t="n">
        <f aca="false">N(N33)</f>
        <v>1167965.31473199</v>
      </c>
      <c r="M34" s="10" t="n">
        <f aca="false">L34*Assumptions!$B$26/12</f>
        <v>1459.95664341499</v>
      </c>
      <c r="N34" s="10" t="n">
        <f aca="false">L34+K34-(IF(L34&gt;0,PMT(Assumptions!$B$26/12,(Assumptions!$B$27*12+1-((YEAR(A34)-YEAR(Assumptions!$B$33))*12+MONTH(A34)-MONTH(Assumptions!$B$33))),-L34),0)-M34)</f>
        <v>1165135.23278318</v>
      </c>
    </row>
    <row r="35" customFormat="false" ht="15.75" hidden="false" customHeight="false" outlineLevel="0" collapsed="false">
      <c r="A35" s="6" t="n">
        <v>47270</v>
      </c>
      <c r="B35" s="7" t="n">
        <f aca="false">IF(A35&lt;Assumptions!$B$4,Assumptions!$B$3,Assumptions!$B$5)</f>
        <v>2000</v>
      </c>
      <c r="C35" s="7" t="n">
        <v>0</v>
      </c>
      <c r="D35" s="8" t="n">
        <f aca="false">IF(A35=Assumptions!$B$14,Assumptions!$B$13,IF(AND(A35&gt;Assumptions!$B$14,N(I34)&gt;0.5),Assumptions!$B$18,0))</f>
        <v>3062.26917357728</v>
      </c>
      <c r="E35" s="8" t="n">
        <f aca="false">IF(A35=Assumptions!$B$14,Assumptions!$B$10,IF(A35&gt;Assumptions!$B$14,D35-J35,0))</f>
        <v>1699.7146627726</v>
      </c>
      <c r="F35" s="8" t="n">
        <f aca="false">IF(A35=Assumptions!$B$25,Assumptions!$B$24,0)+IF(L35&gt;0,PMT(Assumptions!$B$26/12,(Assumptions!$B$27*12+1-((YEAR(A35)-YEAR(Assumptions!$B$33))*12+MONTH(A35)-MONTH(Assumptions!$B$33))),-L35),0)</f>
        <v>4290.03859222248</v>
      </c>
      <c r="G35" s="8" t="n">
        <f aca="false">IF(A35=Assumptions!$B$25,Assumptions!$B$23,0)+IF(L35&gt;0,PMT(Assumptions!$B$26/12,(Assumptions!$B$27*12+1-((YEAR(A35)-YEAR(Assumptions!$B$33))*12+MONTH(A35)-MONTH(Assumptions!$B$33))),-L35),0)-M35</f>
        <v>2833.6195512435</v>
      </c>
      <c r="H35" s="9" t="str">
        <f aca="false">IF(A35=Assumptions!$B$25,"Condo: OTP + S&amp;P + 25% equity paid",IF(A35=Assumptions!$B$14,"HDB: completion, downpayment paid",IFERROR("Condo: "&amp;INDEX(Assumptions!$A$33:$A$40,MATCH(A35,Assumptions!$B$33:$B$40,0)),"")))</f>
        <v/>
      </c>
      <c r="I35" s="10" t="n">
        <f aca="false">IF(A35=Assumptions!$B$14,Assumptions!$B$17,IF(A35&gt;Assumptions!$B$14,N(I34)-E35,0))</f>
        <v>627171.598016312</v>
      </c>
      <c r="J35" s="10" t="n">
        <f aca="false">IF(A35&gt;Assumptions!$B$14,N(I34)*Assumptions!$B$15/12,0)</f>
        <v>1362.55451080468</v>
      </c>
      <c r="K35" s="10" t="n">
        <f aca="false">SUMIFS(Assumptions!$D$33:$D$40,Assumptions!$B$33:$B$40,A35)</f>
        <v>0</v>
      </c>
      <c r="L35" s="10" t="n">
        <f aca="false">N(N34)</f>
        <v>1165135.23278318</v>
      </c>
      <c r="M35" s="10" t="n">
        <f aca="false">L35*Assumptions!$B$26/12</f>
        <v>1456.41904097898</v>
      </c>
      <c r="N35" s="10" t="n">
        <f aca="false">L35+K35-(IF(L35&gt;0,PMT(Assumptions!$B$26/12,(Assumptions!$B$27*12+1-((YEAR(A35)-YEAR(Assumptions!$B$33))*12+MONTH(A35)-MONTH(Assumptions!$B$33))),-L35),0)-M35)</f>
        <v>1162301.61323194</v>
      </c>
    </row>
    <row r="36" customFormat="false" ht="15.75" hidden="false" customHeight="false" outlineLevel="0" collapsed="false">
      <c r="A36" s="6" t="n">
        <v>47300</v>
      </c>
      <c r="B36" s="7" t="n">
        <f aca="false">IF(A36&lt;Assumptions!$B$4,Assumptions!$B$3,Assumptions!$B$5)</f>
        <v>2000</v>
      </c>
      <c r="C36" s="7" t="n">
        <v>0</v>
      </c>
      <c r="D36" s="8" t="n">
        <f aca="false">IF(A36=Assumptions!$B$14,Assumptions!$B$13,IF(AND(A36&gt;Assumptions!$B$14,N(I35)&gt;0.5),Assumptions!$B$18,0))</f>
        <v>3062.26917357728</v>
      </c>
      <c r="E36" s="8" t="n">
        <f aca="false">IF(A36=Assumptions!$B$14,Assumptions!$B$10,IF(A36&gt;Assumptions!$B$14,D36-J36,0))</f>
        <v>1703.39737787527</v>
      </c>
      <c r="F36" s="8" t="n">
        <f aca="false">IF(A36=Assumptions!$B$25,Assumptions!$B$24,0)+IF(L36&gt;0,PMT(Assumptions!$B$26/12,(Assumptions!$B$27*12+1-((YEAR(A36)-YEAR(Assumptions!$B$33))*12+MONTH(A36)-MONTH(Assumptions!$B$33))),-L36),0)</f>
        <v>4290.03859222248</v>
      </c>
      <c r="G36" s="8" t="n">
        <f aca="false">IF(A36=Assumptions!$B$25,Assumptions!$B$23,0)+IF(L36&gt;0,PMT(Assumptions!$B$26/12,(Assumptions!$B$27*12+1-((YEAR(A36)-YEAR(Assumptions!$B$33))*12+MONTH(A36)-MONTH(Assumptions!$B$33))),-L36),0)-M36</f>
        <v>2837.16157568256</v>
      </c>
      <c r="H36" s="9" t="str">
        <f aca="false">IF(A36=Assumptions!$B$25,"Condo: OTP + S&amp;P + 25% equity paid",IF(A36=Assumptions!$B$14,"HDB: completion, downpayment paid",IFERROR("Condo: "&amp;INDEX(Assumptions!$A$33:$A$40,MATCH(A36,Assumptions!$B$33:$B$40,0)),"")))</f>
        <v/>
      </c>
      <c r="I36" s="10" t="n">
        <f aca="false">IF(A36=Assumptions!$B$14,Assumptions!$B$17,IF(A36&gt;Assumptions!$B$14,N(I35)-E36,0))</f>
        <v>625468.200638436</v>
      </c>
      <c r="J36" s="10" t="n">
        <f aca="false">IF(A36&gt;Assumptions!$B$14,N(I35)*Assumptions!$B$15/12,0)</f>
        <v>1358.87179570201</v>
      </c>
      <c r="K36" s="10" t="n">
        <f aca="false">SUMIFS(Assumptions!$D$33:$D$40,Assumptions!$B$33:$B$40,A36)</f>
        <v>0</v>
      </c>
      <c r="L36" s="10" t="n">
        <f aca="false">N(N35)</f>
        <v>1162301.61323194</v>
      </c>
      <c r="M36" s="10" t="n">
        <f aca="false">L36*Assumptions!$B$26/12</f>
        <v>1452.87701653992</v>
      </c>
      <c r="N36" s="10" t="n">
        <f aca="false">L36+K36-(IF(L36&gt;0,PMT(Assumptions!$B$26/12,(Assumptions!$B$27*12+1-((YEAR(A36)-YEAR(Assumptions!$B$33))*12+MONTH(A36)-MONTH(Assumptions!$B$33))),-L36),0)-M36)</f>
        <v>1159464.45165626</v>
      </c>
    </row>
    <row r="37" customFormat="false" ht="15.75" hidden="false" customHeight="false" outlineLevel="0" collapsed="false">
      <c r="A37" s="6" t="n">
        <v>47331</v>
      </c>
      <c r="B37" s="7" t="n">
        <f aca="false">IF(A37&lt;Assumptions!$B$4,Assumptions!$B$3,Assumptions!$B$5)</f>
        <v>2000</v>
      </c>
      <c r="C37" s="7" t="n">
        <v>0</v>
      </c>
      <c r="D37" s="8" t="n">
        <f aca="false">IF(A37=Assumptions!$B$14,Assumptions!$B$13,IF(AND(A37&gt;Assumptions!$B$14,N(I36)&gt;0.5),Assumptions!$B$18,0))</f>
        <v>3062.26917357728</v>
      </c>
      <c r="E37" s="8" t="n">
        <f aca="false">IF(A37=Assumptions!$B$14,Assumptions!$B$10,IF(A37&gt;Assumptions!$B$14,D37-J37,0))</f>
        <v>1707.088072194</v>
      </c>
      <c r="F37" s="8" t="n">
        <f aca="false">IF(A37=Assumptions!$B$25,Assumptions!$B$24,0)+IF(L37&gt;0,PMT(Assumptions!$B$26/12,(Assumptions!$B$27*12+1-((YEAR(A37)-YEAR(Assumptions!$B$33))*12+MONTH(A37)-MONTH(Assumptions!$B$33))),-L37),0)</f>
        <v>4290.03859222248</v>
      </c>
      <c r="G37" s="8" t="n">
        <f aca="false">IF(A37=Assumptions!$B$25,Assumptions!$B$23,0)+IF(L37&gt;0,PMT(Assumptions!$B$26/12,(Assumptions!$B$27*12+1-((YEAR(A37)-YEAR(Assumptions!$B$33))*12+MONTH(A37)-MONTH(Assumptions!$B$33))),-L37),0)-M37</f>
        <v>2840.70802765216</v>
      </c>
      <c r="H37" s="9" t="str">
        <f aca="false">IF(A37=Assumptions!$B$25,"Condo: OTP + S&amp;P + 25% equity paid",IF(A37=Assumptions!$B$14,"HDB: completion, downpayment paid",IFERROR("Condo: "&amp;INDEX(Assumptions!$A$33:$A$40,MATCH(A37,Assumptions!$B$33:$B$40,0)),"")))</f>
        <v/>
      </c>
      <c r="I37" s="10" t="n">
        <f aca="false">IF(A37=Assumptions!$B$14,Assumptions!$B$17,IF(A37&gt;Assumptions!$B$14,N(I36)-E37,0))</f>
        <v>623761.112566242</v>
      </c>
      <c r="J37" s="10" t="n">
        <f aca="false">IF(A37&gt;Assumptions!$B$14,N(I36)*Assumptions!$B$15/12,0)</f>
        <v>1355.18110138328</v>
      </c>
      <c r="K37" s="10" t="n">
        <f aca="false">SUMIFS(Assumptions!$D$33:$D$40,Assumptions!$B$33:$B$40,A37)</f>
        <v>0</v>
      </c>
      <c r="L37" s="10" t="n">
        <f aca="false">N(N36)</f>
        <v>1159464.45165626</v>
      </c>
      <c r="M37" s="10" t="n">
        <f aca="false">L37*Assumptions!$B$26/12</f>
        <v>1449.33056457032</v>
      </c>
      <c r="N37" s="10" t="n">
        <f aca="false">L37+K37-(IF(L37&gt;0,PMT(Assumptions!$B$26/12,(Assumptions!$B$27*12+1-((YEAR(A37)-YEAR(Assumptions!$B$33))*12+MONTH(A37)-MONTH(Assumptions!$B$33))),-L37),0)-M37)</f>
        <v>1156623.7436286</v>
      </c>
    </row>
    <row r="38" customFormat="false" ht="15.75" hidden="false" customHeight="false" outlineLevel="0" collapsed="false">
      <c r="A38" s="6" t="n">
        <v>47362</v>
      </c>
      <c r="B38" s="7" t="n">
        <f aca="false">IF(A38&lt;Assumptions!$B$4,Assumptions!$B$3,Assumptions!$B$5)</f>
        <v>2000</v>
      </c>
      <c r="C38" s="7" t="n">
        <v>0</v>
      </c>
      <c r="D38" s="8" t="n">
        <f aca="false">IF(A38=Assumptions!$B$14,Assumptions!$B$13,IF(AND(A38&gt;Assumptions!$B$14,N(I37)&gt;0.5),Assumptions!$B$18,0))</f>
        <v>3062.26917357728</v>
      </c>
      <c r="E38" s="8" t="n">
        <f aca="false">IF(A38=Assumptions!$B$14,Assumptions!$B$10,IF(A38&gt;Assumptions!$B$14,D38-J38,0))</f>
        <v>1710.78676301709</v>
      </c>
      <c r="F38" s="8" t="n">
        <f aca="false">IF(A38=Assumptions!$B$25,Assumptions!$B$24,0)+IF(L38&gt;0,PMT(Assumptions!$B$26/12,(Assumptions!$B$27*12+1-((YEAR(A38)-YEAR(Assumptions!$B$33))*12+MONTH(A38)-MONTH(Assumptions!$B$33))),-L38),0)</f>
        <v>4290.03859222248</v>
      </c>
      <c r="G38" s="8" t="n">
        <f aca="false">IF(A38=Assumptions!$B$25,Assumptions!$B$23,0)+IF(L38&gt;0,PMT(Assumptions!$B$26/12,(Assumptions!$B$27*12+1-((YEAR(A38)-YEAR(Assumptions!$B$33))*12+MONTH(A38)-MONTH(Assumptions!$B$33))),-L38),0)-M38</f>
        <v>2844.25891268672</v>
      </c>
      <c r="H38" s="9" t="str">
        <f aca="false">IF(A38=Assumptions!$B$25,"Condo: OTP + S&amp;P + 25% equity paid",IF(A38=Assumptions!$B$14,"HDB: completion, downpayment paid",IFERROR("Condo: "&amp;INDEX(Assumptions!$A$33:$A$40,MATCH(A38,Assumptions!$B$33:$B$40,0)),"")))</f>
        <v/>
      </c>
      <c r="I38" s="10" t="n">
        <f aca="false">IF(A38=Assumptions!$B$14,Assumptions!$B$17,IF(A38&gt;Assumptions!$B$14,N(I37)-E38,0))</f>
        <v>622050.325803225</v>
      </c>
      <c r="J38" s="10" t="n">
        <f aca="false">IF(A38&gt;Assumptions!$B$14,N(I37)*Assumptions!$B$15/12,0)</f>
        <v>1351.48241056019</v>
      </c>
      <c r="K38" s="10" t="n">
        <f aca="false">SUMIFS(Assumptions!$D$33:$D$40,Assumptions!$B$33:$B$40,A38)</f>
        <v>0</v>
      </c>
      <c r="L38" s="10" t="n">
        <f aca="false">N(N37)</f>
        <v>1156623.7436286</v>
      </c>
      <c r="M38" s="10" t="n">
        <f aca="false">L38*Assumptions!$B$26/12</f>
        <v>1445.77967953575</v>
      </c>
      <c r="N38" s="10" t="n">
        <f aca="false">L38+K38-(IF(L38&gt;0,PMT(Assumptions!$B$26/12,(Assumptions!$B$27*12+1-((YEAR(A38)-YEAR(Assumptions!$B$33))*12+MONTH(A38)-MONTH(Assumptions!$B$33))),-L38),0)-M38)</f>
        <v>1153779.48471592</v>
      </c>
    </row>
    <row r="39" customFormat="false" ht="15.75" hidden="false" customHeight="false" outlineLevel="0" collapsed="false">
      <c r="A39" s="6" t="n">
        <v>47392</v>
      </c>
      <c r="B39" s="8" t="n">
        <f aca="false">IF(A39&lt;Assumptions!$B$4,Assumptions!$B$3,Assumptions!$B$5)</f>
        <v>2000</v>
      </c>
      <c r="C39" s="8" t="n">
        <v>0</v>
      </c>
      <c r="D39" s="8" t="n">
        <f aca="false">IF(A39=Assumptions!$B$14,Assumptions!$B$13,IF(AND(A39&gt;Assumptions!$B$14,N(I38)&gt;0.5),Assumptions!$B$18,0))</f>
        <v>3062.26917357728</v>
      </c>
      <c r="E39" s="8" t="n">
        <f aca="false">IF(A39=Assumptions!$B$14,Assumptions!$B$10,IF(A39&gt;Assumptions!$B$14,D39-J39,0))</f>
        <v>1714.49346767029</v>
      </c>
      <c r="F39" s="8" t="n">
        <f aca="false">IF(A39=Assumptions!$B$25,Assumptions!$B$24,0)+IF(L39&gt;0,PMT(Assumptions!$B$26/12,(Assumptions!$B$27*12+1-((YEAR(A39)-YEAR(Assumptions!$B$33))*12+MONTH(A39)-MONTH(Assumptions!$B$33))),-L39),0)</f>
        <v>4290.03859222248</v>
      </c>
      <c r="G39" s="8" t="n">
        <f aca="false">IF(A39=Assumptions!$B$25,Assumptions!$B$23,0)+IF(L39&gt;0,PMT(Assumptions!$B$26/12,(Assumptions!$B$27*12+1-((YEAR(A39)-YEAR(Assumptions!$B$33))*12+MONTH(A39)-MONTH(Assumptions!$B$33))),-L39),0)-M39</f>
        <v>2847.81423632758</v>
      </c>
      <c r="H39" s="9" t="str">
        <f aca="false">IF(A39=Assumptions!$B$25,"Condo: OTP + S&amp;P + 25% equity paid",IF(A39=Assumptions!$B$14,"HDB: completion, downpayment paid",IFERROR("Condo: "&amp;INDEX(Assumptions!$A$33:$A$40,MATCH(A39,Assumptions!$B$33:$B$40,0)),"")))</f>
        <v/>
      </c>
      <c r="I39" s="10" t="n">
        <f aca="false">IF(A39=Assumptions!$B$14,Assumptions!$B$17,IF(A39&gt;Assumptions!$B$14,N(I38)-E39,0))</f>
        <v>620335.832335555</v>
      </c>
      <c r="J39" s="10" t="n">
        <f aca="false">IF(A39&gt;Assumptions!$B$14,N(I38)*Assumptions!$B$15/12,0)</f>
        <v>1347.77570590699</v>
      </c>
      <c r="K39" s="10" t="n">
        <f aca="false">SUMIFS(Assumptions!$D$33:$D$40,Assumptions!$B$33:$B$40,A39)</f>
        <v>0</v>
      </c>
      <c r="L39" s="10" t="n">
        <f aca="false">N(N38)</f>
        <v>1153779.48471592</v>
      </c>
      <c r="M39" s="10" t="n">
        <f aca="false">L39*Assumptions!$B$26/12</f>
        <v>1442.22435589489</v>
      </c>
      <c r="N39" s="10" t="n">
        <f aca="false">L39+K39-(IF(L39&gt;0,PMT(Assumptions!$B$26/12,(Assumptions!$B$27*12+1-((YEAR(A39)-YEAR(Assumptions!$B$33))*12+MONTH(A39)-MONTH(Assumptions!$B$33))),-L39),0)-M39)</f>
        <v>1150931.67047959</v>
      </c>
    </row>
    <row r="40" customFormat="false" ht="15.75" hidden="false" customHeight="false" outlineLevel="0" collapsed="false">
      <c r="A40" s="6" t="n">
        <v>47423</v>
      </c>
      <c r="B40" s="8" t="n">
        <f aca="false">IF(A40&lt;Assumptions!$B$4,Assumptions!$B$3,Assumptions!$B$5)</f>
        <v>2000</v>
      </c>
      <c r="C40" s="8" t="n">
        <v>0</v>
      </c>
      <c r="D40" s="8" t="n">
        <f aca="false">IF(A40=Assumptions!$B$14,Assumptions!$B$13,IF(AND(A40&gt;Assumptions!$B$14,N(I39)&gt;0.5),Assumptions!$B$18,0))</f>
        <v>3062.26917357728</v>
      </c>
      <c r="E40" s="8" t="n">
        <f aca="false">IF(A40=Assumptions!$B$14,Assumptions!$B$10,IF(A40&gt;Assumptions!$B$14,D40-J40,0))</f>
        <v>1718.20820351691</v>
      </c>
      <c r="F40" s="8" t="n">
        <f aca="false">IF(A40=Assumptions!$B$25,Assumptions!$B$24,0)+IF(L40&gt;0,PMT(Assumptions!$B$26/12,(Assumptions!$B$27*12+1-((YEAR(A40)-YEAR(Assumptions!$B$33))*12+MONTH(A40)-MONTH(Assumptions!$B$33))),-L40),0)</f>
        <v>4290.03859222248</v>
      </c>
      <c r="G40" s="8" t="n">
        <f aca="false">IF(A40=Assumptions!$B$25,Assumptions!$B$23,0)+IF(L40&gt;0,PMT(Assumptions!$B$26/12,(Assumptions!$B$27*12+1-((YEAR(A40)-YEAR(Assumptions!$B$33))*12+MONTH(A40)-MONTH(Assumptions!$B$33))),-L40),0)-M40</f>
        <v>2851.37400412299</v>
      </c>
      <c r="H40" s="9" t="str">
        <f aca="false">IF(A40=Assumptions!$B$25,"Condo: OTP + S&amp;P + 25% equity paid",IF(A40=Assumptions!$B$14,"HDB: completion, downpayment paid",IFERROR("Condo: "&amp;INDEX(Assumptions!$A$33:$A$40,MATCH(A40,Assumptions!$B$33:$B$40,0)),"")))</f>
        <v/>
      </c>
      <c r="I40" s="10" t="n">
        <f aca="false">IF(A40=Assumptions!$B$14,Assumptions!$B$17,IF(A40&gt;Assumptions!$B$14,N(I39)-E40,0))</f>
        <v>618617.624132038</v>
      </c>
      <c r="J40" s="10" t="n">
        <f aca="false">IF(A40&gt;Assumptions!$B$14,N(I39)*Assumptions!$B$15/12,0)</f>
        <v>1344.06097006037</v>
      </c>
      <c r="K40" s="10" t="n">
        <f aca="false">SUMIFS(Assumptions!$D$33:$D$40,Assumptions!$B$33:$B$40,A40)</f>
        <v>0</v>
      </c>
      <c r="L40" s="10" t="n">
        <f aca="false">N(N39)</f>
        <v>1150931.67047959</v>
      </c>
      <c r="M40" s="10" t="n">
        <f aca="false">L40*Assumptions!$B$26/12</f>
        <v>1438.66458809949</v>
      </c>
      <c r="N40" s="10" t="n">
        <f aca="false">L40+K40-(IF(L40&gt;0,PMT(Assumptions!$B$26/12,(Assumptions!$B$27*12+1-((YEAR(A40)-YEAR(Assumptions!$B$33))*12+MONTH(A40)-MONTH(Assumptions!$B$33))),-L40),0)-M40)</f>
        <v>1148080.29647547</v>
      </c>
    </row>
    <row r="41" customFormat="false" ht="15.75" hidden="false" customHeight="false" outlineLevel="0" collapsed="false">
      <c r="A41" s="6" t="n">
        <v>47453</v>
      </c>
      <c r="B41" s="8" t="n">
        <f aca="false">IF(A41&lt;Assumptions!$B$4,Assumptions!$B$3,Assumptions!$B$5)</f>
        <v>2000</v>
      </c>
      <c r="C41" s="8" t="n">
        <v>0</v>
      </c>
      <c r="D41" s="8" t="n">
        <f aca="false">IF(A41=Assumptions!$B$14,Assumptions!$B$13,IF(AND(A41&gt;Assumptions!$B$14,N(I40)&gt;0.5),Assumptions!$B$18,0))</f>
        <v>3062.26917357728</v>
      </c>
      <c r="E41" s="8" t="n">
        <f aca="false">IF(A41=Assumptions!$B$14,Assumptions!$B$10,IF(A41&gt;Assumptions!$B$14,D41-J41,0))</f>
        <v>1721.93098795787</v>
      </c>
      <c r="F41" s="8" t="n">
        <f aca="false">IF(A41=Assumptions!$B$25,Assumptions!$B$24,0)+IF(L41&gt;0,PMT(Assumptions!$B$26/12,(Assumptions!$B$27*12+1-((YEAR(A41)-YEAR(Assumptions!$B$33))*12+MONTH(A41)-MONTH(Assumptions!$B$33))),-L41),0)</f>
        <v>4290.03859222248</v>
      </c>
      <c r="G41" s="8" t="n">
        <f aca="false">IF(A41=Assumptions!$B$25,Assumptions!$B$23,0)+IF(L41&gt;0,PMT(Assumptions!$B$26/12,(Assumptions!$B$27*12+1-((YEAR(A41)-YEAR(Assumptions!$B$33))*12+MONTH(A41)-MONTH(Assumptions!$B$33))),-L41),0)-M41</f>
        <v>2854.93822162815</v>
      </c>
      <c r="H41" s="9" t="str">
        <f aca="false">IF(A41=Assumptions!$B$25,"Condo: OTP + S&amp;P + 25% equity paid",IF(A41=Assumptions!$B$14,"HDB: completion, downpayment paid",IFERROR("Condo: "&amp;INDEX(Assumptions!$A$33:$A$40,MATCH(A41,Assumptions!$B$33:$B$40,0)),"")))</f>
        <v/>
      </c>
      <c r="I41" s="10" t="n">
        <f aca="false">IF(A41=Assumptions!$B$14,Assumptions!$B$17,IF(A41&gt;Assumptions!$B$14,N(I40)-E41,0))</f>
        <v>616895.69314408</v>
      </c>
      <c r="J41" s="10" t="n">
        <f aca="false">IF(A41&gt;Assumptions!$B$14,N(I40)*Assumptions!$B$15/12,0)</f>
        <v>1340.33818561942</v>
      </c>
      <c r="K41" s="10" t="n">
        <f aca="false">SUMIFS(Assumptions!$D$33:$D$40,Assumptions!$B$33:$B$40,A41)</f>
        <v>0</v>
      </c>
      <c r="L41" s="10" t="n">
        <f aca="false">N(N40)</f>
        <v>1148080.29647547</v>
      </c>
      <c r="M41" s="10" t="n">
        <f aca="false">L41*Assumptions!$B$26/12</f>
        <v>1435.10037059433</v>
      </c>
      <c r="N41" s="10" t="n">
        <f aca="false">L41+K41-(IF(L41&gt;0,PMT(Assumptions!$B$26/12,(Assumptions!$B$27*12+1-((YEAR(A41)-YEAR(Assumptions!$B$33))*12+MONTH(A41)-MONTH(Assumptions!$B$33))),-L41),0)-M41)</f>
        <v>1145225.35825384</v>
      </c>
    </row>
    <row r="42" customFormat="false" ht="15.75" hidden="false" customHeight="false" outlineLevel="0" collapsed="false">
      <c r="A42" s="6" t="n">
        <v>47484</v>
      </c>
      <c r="B42" s="8" t="n">
        <f aca="false">IF(A42&lt;Assumptions!$B$4,Assumptions!$B$3,Assumptions!$B$5)</f>
        <v>4500</v>
      </c>
      <c r="C42" s="8" t="n">
        <v>0</v>
      </c>
      <c r="D42" s="8" t="n">
        <f aca="false">IF(A42=Assumptions!$B$14,Assumptions!$B$13,IF(AND(A42&gt;Assumptions!$B$14,N(I41)&gt;0.5),Assumptions!$B$18,0))</f>
        <v>3062.26917357728</v>
      </c>
      <c r="E42" s="8" t="n">
        <f aca="false">IF(A42=Assumptions!$B$14,Assumptions!$B$10,IF(A42&gt;Assumptions!$B$14,D42-J42,0))</f>
        <v>1725.66183843177</v>
      </c>
      <c r="F42" s="8" t="n">
        <f aca="false">IF(A42=Assumptions!$B$25,Assumptions!$B$24,0)+IF(L42&gt;0,PMT(Assumptions!$B$26/12,(Assumptions!$B$27*12+1-((YEAR(A42)-YEAR(Assumptions!$B$33))*12+MONTH(A42)-MONTH(Assumptions!$B$33))),-L42),0)</f>
        <v>4290.03859222248</v>
      </c>
      <c r="G42" s="8" t="n">
        <f aca="false">IF(A42=Assumptions!$B$25,Assumptions!$B$23,0)+IF(L42&gt;0,PMT(Assumptions!$B$26/12,(Assumptions!$B$27*12+1-((YEAR(A42)-YEAR(Assumptions!$B$33))*12+MONTH(A42)-MONTH(Assumptions!$B$33))),-L42),0)-M42</f>
        <v>2858.50689440518</v>
      </c>
      <c r="H42" s="9" t="str">
        <f aca="false">IF(A42=Assumptions!$B$25,"Condo: OTP + S&amp;P + 25% equity paid",IF(A42=Assumptions!$B$14,"HDB: completion, downpayment paid",IFERROR("Condo: "&amp;INDEX(Assumptions!$A$33:$A$40,MATCH(A42,Assumptions!$B$33:$B$40,0)),"")))</f>
        <v/>
      </c>
      <c r="I42" s="10" t="n">
        <f aca="false">IF(A42=Assumptions!$B$14,Assumptions!$B$17,IF(A42&gt;Assumptions!$B$14,N(I41)-E42,0))</f>
        <v>615170.031305649</v>
      </c>
      <c r="J42" s="10" t="n">
        <f aca="false">IF(A42&gt;Assumptions!$B$14,N(I41)*Assumptions!$B$15/12,0)</f>
        <v>1336.60733514551</v>
      </c>
      <c r="K42" s="10" t="n">
        <f aca="false">SUMIFS(Assumptions!$D$33:$D$40,Assumptions!$B$33:$B$40,A42)</f>
        <v>0</v>
      </c>
      <c r="L42" s="10" t="n">
        <f aca="false">N(N41)</f>
        <v>1145225.35825384</v>
      </c>
      <c r="M42" s="10" t="n">
        <f aca="false">L42*Assumptions!$B$26/12</f>
        <v>1431.5316978173</v>
      </c>
      <c r="N42" s="10" t="n">
        <f aca="false">L42+K42-(IF(L42&gt;0,PMT(Assumptions!$B$26/12,(Assumptions!$B$27*12+1-((YEAR(A42)-YEAR(Assumptions!$B$33))*12+MONTH(A42)-MONTH(Assumptions!$B$33))),-L42),0)-M42)</f>
        <v>1142366.85135943</v>
      </c>
    </row>
    <row r="43" customFormat="false" ht="15.75" hidden="false" customHeight="false" outlineLevel="0" collapsed="false">
      <c r="A43" s="6" t="n">
        <v>47515</v>
      </c>
      <c r="B43" s="8" t="n">
        <f aca="false">IF(A43&lt;Assumptions!$B$4,Assumptions!$B$3,Assumptions!$B$5)</f>
        <v>4500</v>
      </c>
      <c r="C43" s="8" t="n">
        <v>0</v>
      </c>
      <c r="D43" s="8" t="n">
        <f aca="false">IF(A43=Assumptions!$B$14,Assumptions!$B$13,IF(AND(A43&gt;Assumptions!$B$14,N(I42)&gt;0.5),Assumptions!$B$18,0))</f>
        <v>3062.26917357728</v>
      </c>
      <c r="E43" s="8" t="n">
        <f aca="false">IF(A43=Assumptions!$B$14,Assumptions!$B$10,IF(A43&gt;Assumptions!$B$14,D43-J43,0))</f>
        <v>1729.40077241504</v>
      </c>
      <c r="F43" s="8" t="n">
        <f aca="false">IF(A43=Assumptions!$B$25,Assumptions!$B$24,0)+IF(L43&gt;0,PMT(Assumptions!$B$26/12,(Assumptions!$B$27*12+1-((YEAR(A43)-YEAR(Assumptions!$B$33))*12+MONTH(A43)-MONTH(Assumptions!$B$33))),-L43),0)</f>
        <v>4290.03859222248</v>
      </c>
      <c r="G43" s="8" t="n">
        <f aca="false">IF(A43=Assumptions!$B$25,Assumptions!$B$23,0)+IF(L43&gt;0,PMT(Assumptions!$B$26/12,(Assumptions!$B$27*12+1-((YEAR(A43)-YEAR(Assumptions!$B$33))*12+MONTH(A43)-MONTH(Assumptions!$B$33))),-L43),0)-M43</f>
        <v>2862.08002802319</v>
      </c>
      <c r="H43" s="9" t="str">
        <f aca="false">IF(A43=Assumptions!$B$25,"Condo: OTP + S&amp;P + 25% equity paid",IF(A43=Assumptions!$B$14,"HDB: completion, downpayment paid",IFERROR("Condo: "&amp;INDEX(Assumptions!$A$33:$A$40,MATCH(A43,Assumptions!$B$33:$B$40,0)),"")))</f>
        <v/>
      </c>
      <c r="I43" s="10" t="n">
        <f aca="false">IF(A43=Assumptions!$B$14,Assumptions!$B$17,IF(A43&gt;Assumptions!$B$14,N(I42)-E43,0))</f>
        <v>613440.630533234</v>
      </c>
      <c r="J43" s="10" t="n">
        <f aca="false">IF(A43&gt;Assumptions!$B$14,N(I42)*Assumptions!$B$15/12,0)</f>
        <v>1332.86840116224</v>
      </c>
      <c r="K43" s="10" t="n">
        <f aca="false">SUMIFS(Assumptions!$D$33:$D$40,Assumptions!$B$33:$B$40,A43)</f>
        <v>0</v>
      </c>
      <c r="L43" s="10" t="n">
        <f aca="false">N(N42)</f>
        <v>1142366.85135943</v>
      </c>
      <c r="M43" s="10" t="n">
        <f aca="false">L43*Assumptions!$B$26/12</f>
        <v>1427.95856419929</v>
      </c>
      <c r="N43" s="10" t="n">
        <f aca="false">L43+K43-(IF(L43&gt;0,PMT(Assumptions!$B$26/12,(Assumptions!$B$27*12+1-((YEAR(A43)-YEAR(Assumptions!$B$33))*12+MONTH(A43)-MONTH(Assumptions!$B$33))),-L43),0)-M43)</f>
        <v>1139504.77133141</v>
      </c>
    </row>
    <row r="44" customFormat="false" ht="15.75" hidden="false" customHeight="false" outlineLevel="0" collapsed="false">
      <c r="A44" s="6" t="n">
        <v>47543</v>
      </c>
      <c r="B44" s="8" t="n">
        <f aca="false">IF(A44&lt;Assumptions!$B$4,Assumptions!$B$3,Assumptions!$B$5)</f>
        <v>4500</v>
      </c>
      <c r="C44" s="8" t="n">
        <v>0</v>
      </c>
      <c r="D44" s="8" t="n">
        <f aca="false">IF(A44=Assumptions!$B$14,Assumptions!$B$13,IF(AND(A44&gt;Assumptions!$B$14,N(I43)&gt;0.5),Assumptions!$B$18,0))</f>
        <v>3062.26917357728</v>
      </c>
      <c r="E44" s="8" t="n">
        <f aca="false">IF(A44=Assumptions!$B$14,Assumptions!$B$10,IF(A44&gt;Assumptions!$B$14,D44-J44,0))</f>
        <v>1733.14780742194</v>
      </c>
      <c r="F44" s="8" t="n">
        <f aca="false">IF(A44=Assumptions!$B$25,Assumptions!$B$24,0)+IF(L44&gt;0,PMT(Assumptions!$B$26/12,(Assumptions!$B$27*12+1-((YEAR(A44)-YEAR(Assumptions!$B$33))*12+MONTH(A44)-MONTH(Assumptions!$B$33))),-L44),0)</f>
        <v>4290.03859222248</v>
      </c>
      <c r="G44" s="8" t="n">
        <f aca="false">IF(A44=Assumptions!$B$25,Assumptions!$B$23,0)+IF(L44&gt;0,PMT(Assumptions!$B$26/12,(Assumptions!$B$27*12+1-((YEAR(A44)-YEAR(Assumptions!$B$33))*12+MONTH(A44)-MONTH(Assumptions!$B$33))),-L44),0)-M44</f>
        <v>2865.65762805822</v>
      </c>
      <c r="H44" s="9" t="str">
        <f aca="false">IF(A44=Assumptions!$B$25,"Condo: OTP + S&amp;P + 25% equity paid",IF(A44=Assumptions!$B$14,"HDB: completion, downpayment paid",IFERROR("Condo: "&amp;INDEX(Assumptions!$A$33:$A$40,MATCH(A44,Assumptions!$B$33:$B$40,0)),"")))</f>
        <v/>
      </c>
      <c r="I44" s="10" t="n">
        <f aca="false">IF(A44=Assumptions!$B$14,Assumptions!$B$17,IF(A44&gt;Assumptions!$B$14,N(I43)-E44,0))</f>
        <v>611707.482725812</v>
      </c>
      <c r="J44" s="10" t="n">
        <f aca="false">IF(A44&gt;Assumptions!$B$14,N(I43)*Assumptions!$B$15/12,0)</f>
        <v>1329.12136615534</v>
      </c>
      <c r="K44" s="10" t="n">
        <f aca="false">SUMIFS(Assumptions!$D$33:$D$40,Assumptions!$B$33:$B$40,A44)</f>
        <v>0</v>
      </c>
      <c r="L44" s="10" t="n">
        <f aca="false">N(N43)</f>
        <v>1139504.77133141</v>
      </c>
      <c r="M44" s="10" t="n">
        <f aca="false">L44*Assumptions!$B$26/12</f>
        <v>1424.38096416426</v>
      </c>
      <c r="N44" s="10" t="n">
        <f aca="false">L44+K44-(IF(L44&gt;0,PMT(Assumptions!$B$26/12,(Assumptions!$B$27*12+1-((YEAR(A44)-YEAR(Assumptions!$B$33))*12+MONTH(A44)-MONTH(Assumptions!$B$33))),-L44),0)-M44)</f>
        <v>1136639.11370335</v>
      </c>
    </row>
    <row r="45" customFormat="false" ht="15.75" hidden="false" customHeight="false" outlineLevel="0" collapsed="false">
      <c r="A45" s="6" t="n">
        <v>47574</v>
      </c>
      <c r="B45" s="8" t="n">
        <f aca="false">IF(A45&lt;Assumptions!$B$4,Assumptions!$B$3,Assumptions!$B$5)</f>
        <v>4500</v>
      </c>
      <c r="C45" s="8" t="n">
        <v>0</v>
      </c>
      <c r="D45" s="8" t="n">
        <f aca="false">IF(A45=Assumptions!$B$14,Assumptions!$B$13,IF(AND(A45&gt;Assumptions!$B$14,N(I44)&gt;0.5),Assumptions!$B$18,0))</f>
        <v>3062.26917357728</v>
      </c>
      <c r="E45" s="8" t="n">
        <f aca="false">IF(A45=Assumptions!$B$14,Assumptions!$B$10,IF(A45&gt;Assumptions!$B$14,D45-J45,0))</f>
        <v>1736.90296100469</v>
      </c>
      <c r="F45" s="8" t="n">
        <f aca="false">IF(A45=Assumptions!$B$25,Assumptions!$B$24,0)+IF(L45&gt;0,PMT(Assumptions!$B$26/12,(Assumptions!$B$27*12+1-((YEAR(A45)-YEAR(Assumptions!$B$33))*12+MONTH(A45)-MONTH(Assumptions!$B$33))),-L45),0)</f>
        <v>4290.03859222248</v>
      </c>
      <c r="G45" s="8" t="n">
        <f aca="false">IF(A45=Assumptions!$B$25,Assumptions!$B$23,0)+IF(L45&gt;0,PMT(Assumptions!$B$26/12,(Assumptions!$B$27*12+1-((YEAR(A45)-YEAR(Assumptions!$B$33))*12+MONTH(A45)-MONTH(Assumptions!$B$33))),-L45),0)-M45</f>
        <v>2869.23970009329</v>
      </c>
      <c r="H45" s="9" t="str">
        <f aca="false">IF(A45=Assumptions!$B$25,"Condo: OTP + S&amp;P + 25% equity paid",IF(A45=Assumptions!$B$14,"HDB: completion, downpayment paid",IFERROR("Condo: "&amp;INDEX(Assumptions!$A$33:$A$40,MATCH(A45,Assumptions!$B$33:$B$40,0)),"")))</f>
        <v>Condo: CSC (~12 months after TOP)</v>
      </c>
      <c r="I45" s="10" t="n">
        <f aca="false">IF(A45=Assumptions!$B$14,Assumptions!$B$17,IF(A45&gt;Assumptions!$B$14,N(I44)-E45,0))</f>
        <v>609970.579764807</v>
      </c>
      <c r="J45" s="10" t="n">
        <f aca="false">IF(A45&gt;Assumptions!$B$14,N(I44)*Assumptions!$B$15/12,0)</f>
        <v>1325.36621257259</v>
      </c>
      <c r="K45" s="10" t="n">
        <f aca="false">SUMIFS(Assumptions!$D$33:$D$40,Assumptions!$B$33:$B$40,A45)</f>
        <v>297000</v>
      </c>
      <c r="L45" s="10" t="n">
        <f aca="false">N(N44)</f>
        <v>1136639.11370335</v>
      </c>
      <c r="M45" s="10" t="n">
        <f aca="false">L45*Assumptions!$B$26/12</f>
        <v>1420.79889212919</v>
      </c>
      <c r="N45" s="10" t="n">
        <f aca="false">L45+K45-(IF(L45&gt;0,PMT(Assumptions!$B$26/12,(Assumptions!$B$27*12+1-((YEAR(A45)-YEAR(Assumptions!$B$33))*12+MONTH(A45)-MONTH(Assumptions!$B$33))),-L45),0)-M45)</f>
        <v>1430769.87400326</v>
      </c>
    </row>
    <row r="46" customFormat="false" ht="15.75" hidden="false" customHeight="false" outlineLevel="0" collapsed="false">
      <c r="A46" s="6" t="n">
        <v>47604</v>
      </c>
      <c r="B46" s="8" t="n">
        <f aca="false">IF(A46&lt;Assumptions!$B$4,Assumptions!$B$3,Assumptions!$B$5)</f>
        <v>4500</v>
      </c>
      <c r="C46" s="8" t="n">
        <v>0</v>
      </c>
      <c r="D46" s="8" t="n">
        <f aca="false">IF(A46=Assumptions!$B$14,Assumptions!$B$13,IF(AND(A46&gt;Assumptions!$B$14,N(I45)&gt;0.5),Assumptions!$B$18,0))</f>
        <v>3062.26917357728</v>
      </c>
      <c r="E46" s="8" t="n">
        <f aca="false">IF(A46=Assumptions!$B$14,Assumptions!$B$10,IF(A46&gt;Assumptions!$B$14,D46-J46,0))</f>
        <v>1740.66625075353</v>
      </c>
      <c r="F46" s="8" t="n">
        <f aca="false">IF(A46=Assumptions!$B$25,Assumptions!$B$24,0)+IF(L46&gt;0,PMT(Assumptions!$B$26/12,(Assumptions!$B$27*12+1-((YEAR(A46)-YEAR(Assumptions!$B$33))*12+MONTH(A46)-MONTH(Assumptions!$B$33))),-L46),0)</f>
        <v>5413.84818630807</v>
      </c>
      <c r="G46" s="8" t="n">
        <f aca="false">IF(A46=Assumptions!$B$25,Assumptions!$B$23,0)+IF(L46&gt;0,PMT(Assumptions!$B$26/12,(Assumptions!$B$27*12+1-((YEAR(A46)-YEAR(Assumptions!$B$33))*12+MONTH(A46)-MONTH(Assumptions!$B$33))),-L46),0)-M46</f>
        <v>3625.385843804</v>
      </c>
      <c r="H46" s="9" t="str">
        <f aca="false">IF(A46=Assumptions!$B$25,"Condo: OTP + S&amp;P + 25% equity paid",IF(A46=Assumptions!$B$14,"HDB: completion, downpayment paid",IFERROR("Condo: "&amp;INDEX(Assumptions!$A$33:$A$40,MATCH(A46,Assumptions!$B$33:$B$40,0)),"")))</f>
        <v/>
      </c>
      <c r="I46" s="10" t="n">
        <f aca="false">IF(A46=Assumptions!$B$14,Assumptions!$B$17,IF(A46&gt;Assumptions!$B$14,N(I45)-E46,0))</f>
        <v>608229.913514053</v>
      </c>
      <c r="J46" s="10" t="n">
        <f aca="false">IF(A46&gt;Assumptions!$B$14,N(I45)*Assumptions!$B$15/12,0)</f>
        <v>1321.60292282375</v>
      </c>
      <c r="K46" s="10" t="n">
        <f aca="false">SUMIFS(Assumptions!$D$33:$D$40,Assumptions!$B$33:$B$40,A46)</f>
        <v>0</v>
      </c>
      <c r="L46" s="10" t="n">
        <f aca="false">N(N45)</f>
        <v>1430769.87400326</v>
      </c>
      <c r="M46" s="10" t="n">
        <f aca="false">L46*Assumptions!$B$26/12</f>
        <v>1788.46234250407</v>
      </c>
      <c r="N46" s="10" t="n">
        <f aca="false">L46+K46-(IF(L46&gt;0,PMT(Assumptions!$B$26/12,(Assumptions!$B$27*12+1-((YEAR(A46)-YEAR(Assumptions!$B$33))*12+MONTH(A46)-MONTH(Assumptions!$B$33))),-L46),0)-M46)</f>
        <v>1427144.48815945</v>
      </c>
    </row>
    <row r="47" customFormat="false" ht="15.75" hidden="false" customHeight="false" outlineLevel="0" collapsed="false">
      <c r="A47" s="6" t="n">
        <v>47635</v>
      </c>
      <c r="B47" s="8" t="n">
        <f aca="false">IF(A47&lt;Assumptions!$B$4,Assumptions!$B$3,Assumptions!$B$5)</f>
        <v>4500</v>
      </c>
      <c r="C47" s="8" t="n">
        <v>0</v>
      </c>
      <c r="D47" s="8" t="n">
        <f aca="false">IF(A47=Assumptions!$B$14,Assumptions!$B$13,IF(AND(A47&gt;Assumptions!$B$14,N(I46)&gt;0.5),Assumptions!$B$18,0))</f>
        <v>3062.26917357728</v>
      </c>
      <c r="E47" s="8" t="n">
        <f aca="false">IF(A47=Assumptions!$B$14,Assumptions!$B$10,IF(A47&gt;Assumptions!$B$14,D47-J47,0))</f>
        <v>1744.43769429683</v>
      </c>
      <c r="F47" s="8" t="n">
        <f aca="false">IF(A47=Assumptions!$B$25,Assumptions!$B$24,0)+IF(L47&gt;0,PMT(Assumptions!$B$26/12,(Assumptions!$B$27*12+1-((YEAR(A47)-YEAR(Assumptions!$B$33))*12+MONTH(A47)-MONTH(Assumptions!$B$33))),-L47),0)</f>
        <v>5413.84818630807</v>
      </c>
      <c r="G47" s="8" t="n">
        <f aca="false">IF(A47=Assumptions!$B$25,Assumptions!$B$23,0)+IF(L47&gt;0,PMT(Assumptions!$B$26/12,(Assumptions!$B$27*12+1-((YEAR(A47)-YEAR(Assumptions!$B$33))*12+MONTH(A47)-MONTH(Assumptions!$B$33))),-L47),0)-M47</f>
        <v>3629.91757610876</v>
      </c>
      <c r="H47" s="9" t="str">
        <f aca="false">IF(A47=Assumptions!$B$25,"Condo: OTP + S&amp;P + 25% equity paid",IF(A47=Assumptions!$B$14,"HDB: completion, downpayment paid",IFERROR("Condo: "&amp;INDEX(Assumptions!$A$33:$A$40,MATCH(A47,Assumptions!$B$33:$B$40,0)),"")))</f>
        <v/>
      </c>
      <c r="I47" s="10" t="n">
        <f aca="false">IF(A47=Assumptions!$B$14,Assumptions!$B$17,IF(A47&gt;Assumptions!$B$14,N(I46)-E47,0))</f>
        <v>606485.475819757</v>
      </c>
      <c r="J47" s="10" t="n">
        <f aca="false">IF(A47&gt;Assumptions!$B$14,N(I46)*Assumptions!$B$15/12,0)</f>
        <v>1317.83147928045</v>
      </c>
      <c r="K47" s="10" t="n">
        <f aca="false">SUMIFS(Assumptions!$D$33:$D$40,Assumptions!$B$33:$B$40,A47)</f>
        <v>0</v>
      </c>
      <c r="L47" s="10" t="n">
        <f aca="false">N(N46)</f>
        <v>1427144.48815945</v>
      </c>
      <c r="M47" s="10" t="n">
        <f aca="false">L47*Assumptions!$B$26/12</f>
        <v>1783.93061019932</v>
      </c>
      <c r="N47" s="10" t="n">
        <f aca="false">L47+K47-(IF(L47&gt;0,PMT(Assumptions!$B$26/12,(Assumptions!$B$27*12+1-((YEAR(A47)-YEAR(Assumptions!$B$33))*12+MONTH(A47)-MONTH(Assumptions!$B$33))),-L47),0)-M47)</f>
        <v>1423514.57058334</v>
      </c>
    </row>
    <row r="48" customFormat="false" ht="15.75" hidden="false" customHeight="false" outlineLevel="0" collapsed="false">
      <c r="A48" s="6" t="n">
        <v>47665</v>
      </c>
      <c r="B48" s="8" t="n">
        <f aca="false">IF(A48&lt;Assumptions!$B$4,Assumptions!$B$3,Assumptions!$B$5)</f>
        <v>4500</v>
      </c>
      <c r="C48" s="8" t="n">
        <v>0</v>
      </c>
      <c r="D48" s="8" t="n">
        <f aca="false">IF(A48=Assumptions!$B$14,Assumptions!$B$13,IF(AND(A48&gt;Assumptions!$B$14,N(I47)&gt;0.5),Assumptions!$B$18,0))</f>
        <v>3062.26917357728</v>
      </c>
      <c r="E48" s="8" t="n">
        <f aca="false">IF(A48=Assumptions!$B$14,Assumptions!$B$10,IF(A48&gt;Assumptions!$B$14,D48-J48,0))</f>
        <v>1748.21730930114</v>
      </c>
      <c r="F48" s="8" t="n">
        <f aca="false">IF(A48=Assumptions!$B$25,Assumptions!$B$24,0)+IF(L48&gt;0,PMT(Assumptions!$B$26/12,(Assumptions!$B$27*12+1-((YEAR(A48)-YEAR(Assumptions!$B$33))*12+MONTH(A48)-MONTH(Assumptions!$B$33))),-L48),0)</f>
        <v>5413.84818630807</v>
      </c>
      <c r="G48" s="8" t="n">
        <f aca="false">IF(A48=Assumptions!$B$25,Assumptions!$B$23,0)+IF(L48&gt;0,PMT(Assumptions!$B$26/12,(Assumptions!$B$27*12+1-((YEAR(A48)-YEAR(Assumptions!$B$33))*12+MONTH(A48)-MONTH(Assumptions!$B$33))),-L48),0)-M48</f>
        <v>3634.45497307889</v>
      </c>
      <c r="H48" s="9" t="str">
        <f aca="false">IF(A48=Assumptions!$B$25,"Condo: OTP + S&amp;P + 25% equity paid",IF(A48=Assumptions!$B$14,"HDB: completion, downpayment paid",IFERROR("Condo: "&amp;INDEX(Assumptions!$A$33:$A$40,MATCH(A48,Assumptions!$B$33:$B$40,0)),"")))</f>
        <v/>
      </c>
      <c r="I48" s="10" t="n">
        <f aca="false">IF(A48=Assumptions!$B$14,Assumptions!$B$17,IF(A48&gt;Assumptions!$B$14,N(I47)-E48,0))</f>
        <v>604737.258510455</v>
      </c>
      <c r="J48" s="10" t="n">
        <f aca="false">IF(A48&gt;Assumptions!$B$14,N(I47)*Assumptions!$B$15/12,0)</f>
        <v>1314.05186427614</v>
      </c>
      <c r="K48" s="10" t="n">
        <f aca="false">SUMIFS(Assumptions!$D$33:$D$40,Assumptions!$B$33:$B$40,A48)</f>
        <v>0</v>
      </c>
      <c r="L48" s="10" t="n">
        <f aca="false">N(N47)</f>
        <v>1423514.57058334</v>
      </c>
      <c r="M48" s="10" t="n">
        <f aca="false">L48*Assumptions!$B$26/12</f>
        <v>1779.39321322918</v>
      </c>
      <c r="N48" s="10" t="n">
        <f aca="false">L48+K48-(IF(L48&gt;0,PMT(Assumptions!$B$26/12,(Assumptions!$B$27*12+1-((YEAR(A48)-YEAR(Assumptions!$B$33))*12+MONTH(A48)-MONTH(Assumptions!$B$33))),-L48),0)-M48)</f>
        <v>1419880.11561027</v>
      </c>
    </row>
    <row r="49" customFormat="false" ht="15.75" hidden="false" customHeight="false" outlineLevel="0" collapsed="false">
      <c r="A49" s="6" t="n">
        <v>47696</v>
      </c>
      <c r="B49" s="8" t="n">
        <f aca="false">IF(A49&lt;Assumptions!$B$4,Assumptions!$B$3,Assumptions!$B$5)</f>
        <v>4500</v>
      </c>
      <c r="C49" s="8" t="n">
        <v>0</v>
      </c>
      <c r="D49" s="8" t="n">
        <f aca="false">IF(A49=Assumptions!$B$14,Assumptions!$B$13,IF(AND(A49&gt;Assumptions!$B$14,N(I48)&gt;0.5),Assumptions!$B$18,0))</f>
        <v>3062.26917357728</v>
      </c>
      <c r="E49" s="8" t="n">
        <f aca="false">IF(A49=Assumptions!$B$14,Assumptions!$B$10,IF(A49&gt;Assumptions!$B$14,D49-J49,0))</f>
        <v>1752.00511347129</v>
      </c>
      <c r="F49" s="8" t="n">
        <f aca="false">IF(A49=Assumptions!$B$25,Assumptions!$B$24,0)+IF(L49&gt;0,PMT(Assumptions!$B$26/12,(Assumptions!$B$27*12+1-((YEAR(A49)-YEAR(Assumptions!$B$33))*12+MONTH(A49)-MONTH(Assumptions!$B$33))),-L49),0)</f>
        <v>5413.84818630807</v>
      </c>
      <c r="G49" s="8" t="n">
        <f aca="false">IF(A49=Assumptions!$B$25,Assumptions!$B$23,0)+IF(L49&gt;0,PMT(Assumptions!$B$26/12,(Assumptions!$B$27*12+1-((YEAR(A49)-YEAR(Assumptions!$B$33))*12+MONTH(A49)-MONTH(Assumptions!$B$33))),-L49),0)-M49</f>
        <v>3638.99804179524</v>
      </c>
      <c r="H49" s="9" t="str">
        <f aca="false">IF(A49=Assumptions!$B$25,"Condo: OTP + S&amp;P + 25% equity paid",IF(A49=Assumptions!$B$14,"HDB: completion, downpayment paid",IFERROR("Condo: "&amp;INDEX(Assumptions!$A$33:$A$40,MATCH(A49,Assumptions!$B$33:$B$40,0)),"")))</f>
        <v/>
      </c>
      <c r="I49" s="10" t="n">
        <f aca="false">IF(A49=Assumptions!$B$14,Assumptions!$B$17,IF(A49&gt;Assumptions!$B$14,N(I48)-E49,0))</f>
        <v>602985.253396984</v>
      </c>
      <c r="J49" s="10" t="n">
        <f aca="false">IF(A49&gt;Assumptions!$B$14,N(I48)*Assumptions!$B$15/12,0)</f>
        <v>1310.26406010599</v>
      </c>
      <c r="K49" s="10" t="n">
        <f aca="false">SUMIFS(Assumptions!$D$33:$D$40,Assumptions!$B$33:$B$40,A49)</f>
        <v>0</v>
      </c>
      <c r="L49" s="10" t="n">
        <f aca="false">N(N48)</f>
        <v>1419880.11561027</v>
      </c>
      <c r="M49" s="10" t="n">
        <f aca="false">L49*Assumptions!$B$26/12</f>
        <v>1774.85014451283</v>
      </c>
      <c r="N49" s="10" t="n">
        <f aca="false">L49+K49-(IF(L49&gt;0,PMT(Assumptions!$B$26/12,(Assumptions!$B$27*12+1-((YEAR(A49)-YEAR(Assumptions!$B$33))*12+MONTH(A49)-MONTH(Assumptions!$B$33))),-L49),0)-M49)</f>
        <v>1416241.11756847</v>
      </c>
    </row>
    <row r="50" customFormat="false" ht="15.75" hidden="false" customHeight="false" outlineLevel="0" collapsed="false">
      <c r="A50" s="6" t="n">
        <v>47727</v>
      </c>
      <c r="B50" s="8" t="n">
        <f aca="false">IF(A50&lt;Assumptions!$B$4,Assumptions!$B$3,Assumptions!$B$5)</f>
        <v>4500</v>
      </c>
      <c r="C50" s="8" t="n">
        <v>0</v>
      </c>
      <c r="D50" s="8" t="n">
        <f aca="false">IF(A50=Assumptions!$B$14,Assumptions!$B$13,IF(AND(A50&gt;Assumptions!$B$14,N(I49)&gt;0.5),Assumptions!$B$18,0))</f>
        <v>3062.26917357728</v>
      </c>
      <c r="E50" s="8" t="n">
        <f aca="false">IF(A50=Assumptions!$B$14,Assumptions!$B$10,IF(A50&gt;Assumptions!$B$14,D50-J50,0))</f>
        <v>1755.80112455048</v>
      </c>
      <c r="F50" s="8" t="n">
        <f aca="false">IF(A50=Assumptions!$B$25,Assumptions!$B$24,0)+IF(L50&gt;0,PMT(Assumptions!$B$26/12,(Assumptions!$B$27*12+1-((YEAR(A50)-YEAR(Assumptions!$B$33))*12+MONTH(A50)-MONTH(Assumptions!$B$33))),-L50),0)</f>
        <v>5413.84818630807</v>
      </c>
      <c r="G50" s="8" t="n">
        <f aca="false">IF(A50=Assumptions!$B$25,Assumptions!$B$23,0)+IF(L50&gt;0,PMT(Assumptions!$B$26/12,(Assumptions!$B$27*12+1-((YEAR(A50)-YEAR(Assumptions!$B$33))*12+MONTH(A50)-MONTH(Assumptions!$B$33))),-L50),0)-M50</f>
        <v>3643.54678934748</v>
      </c>
      <c r="H50" s="9" t="str">
        <f aca="false">IF(A50=Assumptions!$B$25,"Condo: OTP + S&amp;P + 25% equity paid",IF(A50=Assumptions!$B$14,"HDB: completion, downpayment paid",IFERROR("Condo: "&amp;INDEX(Assumptions!$A$33:$A$40,MATCH(A50,Assumptions!$B$33:$B$40,0)),"")))</f>
        <v/>
      </c>
      <c r="I50" s="10" t="n">
        <f aca="false">IF(A50=Assumptions!$B$14,Assumptions!$B$17,IF(A50&gt;Assumptions!$B$14,N(I49)-E50,0))</f>
        <v>601229.452272434</v>
      </c>
      <c r="J50" s="10" t="n">
        <f aca="false">IF(A50&gt;Assumptions!$B$14,N(I49)*Assumptions!$B$15/12,0)</f>
        <v>1306.4680490268</v>
      </c>
      <c r="K50" s="10" t="n">
        <f aca="false">SUMIFS(Assumptions!$D$33:$D$40,Assumptions!$B$33:$B$40,A50)</f>
        <v>0</v>
      </c>
      <c r="L50" s="10" t="n">
        <f aca="false">N(N49)</f>
        <v>1416241.11756847</v>
      </c>
      <c r="M50" s="10" t="n">
        <f aca="false">L50*Assumptions!$B$26/12</f>
        <v>1770.30139696059</v>
      </c>
      <c r="N50" s="10" t="n">
        <f aca="false">L50+K50-(IF(L50&gt;0,PMT(Assumptions!$B$26/12,(Assumptions!$B$27*12+1-((YEAR(A50)-YEAR(Assumptions!$B$33))*12+MONTH(A50)-MONTH(Assumptions!$B$33))),-L50),0)-M50)</f>
        <v>1412597.57077912</v>
      </c>
    </row>
    <row r="51" customFormat="false" ht="15.75" hidden="false" customHeight="false" outlineLevel="0" collapsed="false">
      <c r="A51" s="6" t="n">
        <v>47757</v>
      </c>
      <c r="B51" s="8" t="n">
        <f aca="false">IF(A51&lt;Assumptions!$B$4,Assumptions!$B$3,Assumptions!$B$5)</f>
        <v>4500</v>
      </c>
      <c r="C51" s="8" t="n">
        <v>0</v>
      </c>
      <c r="D51" s="8" t="n">
        <f aca="false">IF(A51=Assumptions!$B$14,Assumptions!$B$13,IF(AND(A51&gt;Assumptions!$B$14,N(I50)&gt;0.5),Assumptions!$B$18,0))</f>
        <v>3062.26917357728</v>
      </c>
      <c r="E51" s="8" t="n">
        <f aca="false">IF(A51=Assumptions!$B$14,Assumptions!$B$10,IF(A51&gt;Assumptions!$B$14,D51-J51,0))</f>
        <v>1759.60536032034</v>
      </c>
      <c r="F51" s="8" t="n">
        <f aca="false">IF(A51=Assumptions!$B$25,Assumptions!$B$24,0)+IF(L51&gt;0,PMT(Assumptions!$B$26/12,(Assumptions!$B$27*12+1-((YEAR(A51)-YEAR(Assumptions!$B$33))*12+MONTH(A51)-MONTH(Assumptions!$B$33))),-L51),0)</f>
        <v>5413.84818630807</v>
      </c>
      <c r="G51" s="8" t="n">
        <f aca="false">IF(A51=Assumptions!$B$25,Assumptions!$B$23,0)+IF(L51&gt;0,PMT(Assumptions!$B$26/12,(Assumptions!$B$27*12+1-((YEAR(A51)-YEAR(Assumptions!$B$33))*12+MONTH(A51)-MONTH(Assumptions!$B$33))),-L51),0)-M51</f>
        <v>3648.10122283417</v>
      </c>
      <c r="H51" s="9" t="str">
        <f aca="false">IF(A51=Assumptions!$B$25,"Condo: OTP + S&amp;P + 25% equity paid",IF(A51=Assumptions!$B$14,"HDB: completion, downpayment paid",IFERROR("Condo: "&amp;INDEX(Assumptions!$A$33:$A$40,MATCH(A51,Assumptions!$B$33:$B$40,0)),"")))</f>
        <v/>
      </c>
      <c r="I51" s="10" t="n">
        <f aca="false">IF(A51=Assumptions!$B$14,Assumptions!$B$17,IF(A51&gt;Assumptions!$B$14,N(I50)-E51,0))</f>
        <v>599469.846912113</v>
      </c>
      <c r="J51" s="10" t="n">
        <f aca="false">IF(A51&gt;Assumptions!$B$14,N(I50)*Assumptions!$B$15/12,0)</f>
        <v>1302.66381325694</v>
      </c>
      <c r="K51" s="10" t="n">
        <f aca="false">SUMIFS(Assumptions!$D$33:$D$40,Assumptions!$B$33:$B$40,A51)</f>
        <v>0</v>
      </c>
      <c r="L51" s="10" t="n">
        <f aca="false">N(N50)</f>
        <v>1412597.57077912</v>
      </c>
      <c r="M51" s="10" t="n">
        <f aca="false">L51*Assumptions!$B$26/12</f>
        <v>1765.7469634739</v>
      </c>
      <c r="N51" s="10" t="n">
        <f aca="false">L51+K51-(IF(L51&gt;0,PMT(Assumptions!$B$26/12,(Assumptions!$B$27*12+1-((YEAR(A51)-YEAR(Assumptions!$B$33))*12+MONTH(A51)-MONTH(Assumptions!$B$33))),-L51),0)-M51)</f>
        <v>1408949.46955629</v>
      </c>
    </row>
    <row r="52" customFormat="false" ht="15.75" hidden="false" customHeight="false" outlineLevel="0" collapsed="false">
      <c r="A52" s="6" t="n">
        <v>47788</v>
      </c>
      <c r="B52" s="8" t="n">
        <f aca="false">IF(A52&lt;Assumptions!$B$4,Assumptions!$B$3,Assumptions!$B$5)</f>
        <v>4500</v>
      </c>
      <c r="C52" s="8" t="n">
        <v>0</v>
      </c>
      <c r="D52" s="8" t="n">
        <f aca="false">IF(A52=Assumptions!$B$14,Assumptions!$B$13,IF(AND(A52&gt;Assumptions!$B$14,N(I51)&gt;0.5),Assumptions!$B$18,0))</f>
        <v>3062.26917357728</v>
      </c>
      <c r="E52" s="8" t="n">
        <f aca="false">IF(A52=Assumptions!$B$14,Assumptions!$B$10,IF(A52&gt;Assumptions!$B$14,D52-J52,0))</f>
        <v>1763.41783860104</v>
      </c>
      <c r="F52" s="8" t="n">
        <f aca="false">IF(A52=Assumptions!$B$25,Assumptions!$B$24,0)+IF(L52&gt;0,PMT(Assumptions!$B$26/12,(Assumptions!$B$27*12+1-((YEAR(A52)-YEAR(Assumptions!$B$33))*12+MONTH(A52)-MONTH(Assumptions!$B$33))),-L52),0)</f>
        <v>5413.84818630807</v>
      </c>
      <c r="G52" s="8" t="n">
        <f aca="false">IF(A52=Assumptions!$B$25,Assumptions!$B$23,0)+IF(L52&gt;0,PMT(Assumptions!$B$26/12,(Assumptions!$B$27*12+1-((YEAR(A52)-YEAR(Assumptions!$B$33))*12+MONTH(A52)-MONTH(Assumptions!$B$33))),-L52),0)-M52</f>
        <v>3652.66134936271</v>
      </c>
      <c r="H52" s="9" t="str">
        <f aca="false">IF(A52=Assumptions!$B$25,"Condo: OTP + S&amp;P + 25% equity paid",IF(A52=Assumptions!$B$14,"HDB: completion, downpayment paid",IFERROR("Condo: "&amp;INDEX(Assumptions!$A$33:$A$40,MATCH(A52,Assumptions!$B$33:$B$40,0)),"")))</f>
        <v/>
      </c>
      <c r="I52" s="10" t="n">
        <f aca="false">IF(A52=Assumptions!$B$14,Assumptions!$B$17,IF(A52&gt;Assumptions!$B$14,N(I51)-E52,0))</f>
        <v>597706.429073512</v>
      </c>
      <c r="J52" s="10" t="n">
        <f aca="false">IF(A52&gt;Assumptions!$B$14,N(I51)*Assumptions!$B$15/12,0)</f>
        <v>1298.85133497625</v>
      </c>
      <c r="K52" s="10" t="n">
        <f aca="false">SUMIFS(Assumptions!$D$33:$D$40,Assumptions!$B$33:$B$40,A52)</f>
        <v>0</v>
      </c>
      <c r="L52" s="10" t="n">
        <f aca="false">N(N51)</f>
        <v>1408949.46955629</v>
      </c>
      <c r="M52" s="10" t="n">
        <f aca="false">L52*Assumptions!$B$26/12</f>
        <v>1761.18683694536</v>
      </c>
      <c r="N52" s="10" t="n">
        <f aca="false">L52+K52-(IF(L52&gt;0,PMT(Assumptions!$B$26/12,(Assumptions!$B$27*12+1-((YEAR(A52)-YEAR(Assumptions!$B$33))*12+MONTH(A52)-MONTH(Assumptions!$B$33))),-L52),0)-M52)</f>
        <v>1405296.80820693</v>
      </c>
    </row>
    <row r="53" customFormat="false" ht="15.75" hidden="false" customHeight="false" outlineLevel="0" collapsed="false">
      <c r="A53" s="6" t="n">
        <v>47818</v>
      </c>
      <c r="B53" s="8" t="n">
        <f aca="false">IF(A53&lt;Assumptions!$B$4,Assumptions!$B$3,Assumptions!$B$5)</f>
        <v>4500</v>
      </c>
      <c r="C53" s="8" t="n">
        <v>0</v>
      </c>
      <c r="D53" s="8" t="n">
        <f aca="false">IF(A53=Assumptions!$B$14,Assumptions!$B$13,IF(AND(A53&gt;Assumptions!$B$14,N(I52)&gt;0.5),Assumptions!$B$18,0))</f>
        <v>3062.26917357728</v>
      </c>
      <c r="E53" s="8" t="n">
        <f aca="false">IF(A53=Assumptions!$B$14,Assumptions!$B$10,IF(A53&gt;Assumptions!$B$14,D53-J53,0))</f>
        <v>1767.23857725134</v>
      </c>
      <c r="F53" s="8" t="n">
        <f aca="false">IF(A53=Assumptions!$B$25,Assumptions!$B$24,0)+IF(L53&gt;0,PMT(Assumptions!$B$26/12,(Assumptions!$B$27*12+1-((YEAR(A53)-YEAR(Assumptions!$B$33))*12+MONTH(A53)-MONTH(Assumptions!$B$33))),-L53),0)</f>
        <v>5413.84818630807</v>
      </c>
      <c r="G53" s="8" t="n">
        <f aca="false">IF(A53=Assumptions!$B$25,Assumptions!$B$23,0)+IF(L53&gt;0,PMT(Assumptions!$B$26/12,(Assumptions!$B$27*12+1-((YEAR(A53)-YEAR(Assumptions!$B$33))*12+MONTH(A53)-MONTH(Assumptions!$B$33))),-L53),0)-M53</f>
        <v>3657.22717604941</v>
      </c>
      <c r="H53" s="9" t="str">
        <f aca="false">IF(A53=Assumptions!$B$25,"Condo: OTP + S&amp;P + 25% equity paid",IF(A53=Assumptions!$B$14,"HDB: completion, downpayment paid",IFERROR("Condo: "&amp;INDEX(Assumptions!$A$33:$A$40,MATCH(A53,Assumptions!$B$33:$B$40,0)),"")))</f>
        <v/>
      </c>
      <c r="I53" s="10" t="n">
        <f aca="false">IF(A53=Assumptions!$B$14,Assumptions!$B$17,IF(A53&gt;Assumptions!$B$14,N(I52)-E53,0))</f>
        <v>595939.190496261</v>
      </c>
      <c r="J53" s="10" t="n">
        <f aca="false">IF(A53&gt;Assumptions!$B$14,N(I52)*Assumptions!$B$15/12,0)</f>
        <v>1295.03059632594</v>
      </c>
      <c r="K53" s="10" t="n">
        <f aca="false">SUMIFS(Assumptions!$D$33:$D$40,Assumptions!$B$33:$B$40,A53)</f>
        <v>0</v>
      </c>
      <c r="L53" s="10" t="n">
        <f aca="false">N(N52)</f>
        <v>1405296.80820693</v>
      </c>
      <c r="M53" s="10" t="n">
        <f aca="false">L53*Assumptions!$B$26/12</f>
        <v>1756.62101025866</v>
      </c>
      <c r="N53" s="10" t="n">
        <f aca="false">L53+K53-(IF(L53&gt;0,PMT(Assumptions!$B$26/12,(Assumptions!$B$27*12+1-((YEAR(A53)-YEAR(Assumptions!$B$33))*12+MONTH(A53)-MONTH(Assumptions!$B$33))),-L53),0)-M53)</f>
        <v>1401639.58103088</v>
      </c>
    </row>
    <row r="54" customFormat="false" ht="15.75" hidden="false" customHeight="false" outlineLevel="0" collapsed="false">
      <c r="A54" s="6" t="n">
        <v>47849</v>
      </c>
      <c r="B54" s="8" t="n">
        <f aca="false">IF(A54&lt;Assumptions!$B$4,Assumptions!$B$3,Assumptions!$B$5)</f>
        <v>4500</v>
      </c>
      <c r="C54" s="8" t="n">
        <v>0</v>
      </c>
      <c r="D54" s="8" t="n">
        <f aca="false">IF(A54=Assumptions!$B$14,Assumptions!$B$13,IF(AND(A54&gt;Assumptions!$B$14,N(I53)&gt;0.5),Assumptions!$B$18,0))</f>
        <v>3062.26917357728</v>
      </c>
      <c r="E54" s="8" t="n">
        <f aca="false">IF(A54=Assumptions!$B$14,Assumptions!$B$10,IF(A54&gt;Assumptions!$B$14,D54-J54,0))</f>
        <v>1771.06759416872</v>
      </c>
      <c r="F54" s="8" t="n">
        <f aca="false">IF(A54=Assumptions!$B$25,Assumptions!$B$24,0)+IF(L54&gt;0,PMT(Assumptions!$B$26/12,(Assumptions!$B$27*12+1-((YEAR(A54)-YEAR(Assumptions!$B$33))*12+MONTH(A54)-MONTH(Assumptions!$B$33))),-L54),0)</f>
        <v>5413.84818630807</v>
      </c>
      <c r="G54" s="8" t="n">
        <f aca="false">IF(A54=Assumptions!$B$25,Assumptions!$B$23,0)+IF(L54&gt;0,PMT(Assumptions!$B$26/12,(Assumptions!$B$27*12+1-((YEAR(A54)-YEAR(Assumptions!$B$33))*12+MONTH(A54)-MONTH(Assumptions!$B$33))),-L54),0)-M54</f>
        <v>3661.79871001948</v>
      </c>
      <c r="H54" s="9" t="str">
        <f aca="false">IF(A54=Assumptions!$B$25,"Condo: OTP + S&amp;P + 25% equity paid",IF(A54=Assumptions!$B$14,"HDB: completion, downpayment paid",IFERROR("Condo: "&amp;INDEX(Assumptions!$A$33:$A$40,MATCH(A54,Assumptions!$B$33:$B$40,0)),"")))</f>
        <v/>
      </c>
      <c r="I54" s="10" t="n">
        <f aca="false">IF(A54=Assumptions!$B$14,Assumptions!$B$17,IF(A54&gt;Assumptions!$B$14,N(I53)-E54,0))</f>
        <v>594168.122902092</v>
      </c>
      <c r="J54" s="10" t="n">
        <f aca="false">IF(A54&gt;Assumptions!$B$14,N(I53)*Assumptions!$B$15/12,0)</f>
        <v>1291.20157940857</v>
      </c>
      <c r="K54" s="10" t="n">
        <f aca="false">SUMIFS(Assumptions!$D$33:$D$40,Assumptions!$B$33:$B$40,A54)</f>
        <v>0</v>
      </c>
      <c r="L54" s="10" t="n">
        <f aca="false">N(N53)</f>
        <v>1401639.58103088</v>
      </c>
      <c r="M54" s="10" t="n">
        <f aca="false">L54*Assumptions!$B$26/12</f>
        <v>1752.0494762886</v>
      </c>
      <c r="N54" s="10" t="n">
        <f aca="false">L54+K54-(IF(L54&gt;0,PMT(Assumptions!$B$26/12,(Assumptions!$B$27*12+1-((YEAR(A54)-YEAR(Assumptions!$B$33))*12+MONTH(A54)-MONTH(Assumptions!$B$33))),-L54),0)-M54)</f>
        <v>1397977.78232086</v>
      </c>
    </row>
    <row r="55" customFormat="false" ht="15.75" hidden="false" customHeight="false" outlineLevel="0" collapsed="false">
      <c r="A55" s="6" t="n">
        <v>47880</v>
      </c>
      <c r="B55" s="8" t="n">
        <f aca="false">IF(A55&lt;Assumptions!$B$4,Assumptions!$B$3,Assumptions!$B$5)</f>
        <v>4500</v>
      </c>
      <c r="C55" s="8" t="n">
        <v>0</v>
      </c>
      <c r="D55" s="8" t="n">
        <f aca="false">IF(A55=Assumptions!$B$14,Assumptions!$B$13,IF(AND(A55&gt;Assumptions!$B$14,N(I54)&gt;0.5),Assumptions!$B$18,0))</f>
        <v>3062.26917357728</v>
      </c>
      <c r="E55" s="8" t="n">
        <f aca="false">IF(A55=Assumptions!$B$14,Assumptions!$B$10,IF(A55&gt;Assumptions!$B$14,D55-J55,0))</f>
        <v>1774.90490728941</v>
      </c>
      <c r="F55" s="8" t="n">
        <f aca="false">IF(A55=Assumptions!$B$25,Assumptions!$B$24,0)+IF(L55&gt;0,PMT(Assumptions!$B$26/12,(Assumptions!$B$27*12+1-((YEAR(A55)-YEAR(Assumptions!$B$33))*12+MONTH(A55)-MONTH(Assumptions!$B$33))),-L55),0)</f>
        <v>5413.84818630807</v>
      </c>
      <c r="G55" s="8" t="n">
        <f aca="false">IF(A55=Assumptions!$B$25,Assumptions!$B$23,0)+IF(L55&gt;0,PMT(Assumptions!$B$26/12,(Assumptions!$B$27*12+1-((YEAR(A55)-YEAR(Assumptions!$B$33))*12+MONTH(A55)-MONTH(Assumptions!$B$33))),-L55),0)-M55</f>
        <v>3666.375958407</v>
      </c>
      <c r="H55" s="9" t="str">
        <f aca="false">IF(A55=Assumptions!$B$25,"Condo: OTP + S&amp;P + 25% equity paid",IF(A55=Assumptions!$B$14,"HDB: completion, downpayment paid",IFERROR("Condo: "&amp;INDEX(Assumptions!$A$33:$A$40,MATCH(A55,Assumptions!$B$33:$B$40,0)),"")))</f>
        <v/>
      </c>
      <c r="I55" s="10" t="n">
        <f aca="false">IF(A55=Assumptions!$B$14,Assumptions!$B$17,IF(A55&gt;Assumptions!$B$14,N(I54)-E55,0))</f>
        <v>592393.217994803</v>
      </c>
      <c r="J55" s="10" t="n">
        <f aca="false">IF(A55&gt;Assumptions!$B$14,N(I54)*Assumptions!$B$15/12,0)</f>
        <v>1287.36426628787</v>
      </c>
      <c r="K55" s="10" t="n">
        <f aca="false">SUMIFS(Assumptions!$D$33:$D$40,Assumptions!$B$33:$B$40,A55)</f>
        <v>0</v>
      </c>
      <c r="L55" s="10" t="n">
        <f aca="false">N(N54)</f>
        <v>1397977.78232086</v>
      </c>
      <c r="M55" s="10" t="n">
        <f aca="false">L55*Assumptions!$B$26/12</f>
        <v>1747.47222790107</v>
      </c>
      <c r="N55" s="10" t="n">
        <f aca="false">L55+K55-(IF(L55&gt;0,PMT(Assumptions!$B$26/12,(Assumptions!$B$27*12+1-((YEAR(A55)-YEAR(Assumptions!$B$33))*12+MONTH(A55)-MONTH(Assumptions!$B$33))),-L55),0)-M55)</f>
        <v>1394311.40636245</v>
      </c>
    </row>
    <row r="56" customFormat="false" ht="15.75" hidden="false" customHeight="false" outlineLevel="0" collapsed="false">
      <c r="A56" s="6" t="n">
        <v>47908</v>
      </c>
      <c r="B56" s="8" t="n">
        <f aca="false">IF(A56&lt;Assumptions!$B$4,Assumptions!$B$3,Assumptions!$B$5)</f>
        <v>4500</v>
      </c>
      <c r="C56" s="8" t="n">
        <v>0</v>
      </c>
      <c r="D56" s="8" t="n">
        <f aca="false">IF(A56=Assumptions!$B$14,Assumptions!$B$13,IF(AND(A56&gt;Assumptions!$B$14,N(I55)&gt;0.5),Assumptions!$B$18,0))</f>
        <v>3062.26917357728</v>
      </c>
      <c r="E56" s="8" t="n">
        <f aca="false">IF(A56=Assumptions!$B$14,Assumptions!$B$10,IF(A56&gt;Assumptions!$B$14,D56-J56,0))</f>
        <v>1778.75053458854</v>
      </c>
      <c r="F56" s="8" t="n">
        <f aca="false">IF(A56=Assumptions!$B$25,Assumptions!$B$24,0)+IF(L56&gt;0,PMT(Assumptions!$B$26/12,(Assumptions!$B$27*12+1-((YEAR(A56)-YEAR(Assumptions!$B$33))*12+MONTH(A56)-MONTH(Assumptions!$B$33))),-L56),0)</f>
        <v>5413.84818630807</v>
      </c>
      <c r="G56" s="8" t="n">
        <f aca="false">IF(A56=Assumptions!$B$25,Assumptions!$B$23,0)+IF(L56&gt;0,PMT(Assumptions!$B$26/12,(Assumptions!$B$27*12+1-((YEAR(A56)-YEAR(Assumptions!$B$33))*12+MONTH(A56)-MONTH(Assumptions!$B$33))),-L56),0)-M56</f>
        <v>3670.95892835501</v>
      </c>
      <c r="H56" s="9" t="str">
        <f aca="false">IF(A56=Assumptions!$B$25,"Condo: OTP + S&amp;P + 25% equity paid",IF(A56=Assumptions!$B$14,"HDB: completion, downpayment paid",IFERROR("Condo: "&amp;INDEX(Assumptions!$A$33:$A$40,MATCH(A56,Assumptions!$B$33:$B$40,0)),"")))</f>
        <v/>
      </c>
      <c r="I56" s="10" t="n">
        <f aca="false">IF(A56=Assumptions!$B$14,Assumptions!$B$17,IF(A56&gt;Assumptions!$B$14,N(I55)-E56,0))</f>
        <v>590614.467460214</v>
      </c>
      <c r="J56" s="10" t="n">
        <f aca="false">IF(A56&gt;Assumptions!$B$14,N(I55)*Assumptions!$B$15/12,0)</f>
        <v>1283.51863898874</v>
      </c>
      <c r="K56" s="10" t="n">
        <f aca="false">SUMIFS(Assumptions!$D$33:$D$40,Assumptions!$B$33:$B$40,A56)</f>
        <v>0</v>
      </c>
      <c r="L56" s="10" t="n">
        <f aca="false">N(N55)</f>
        <v>1394311.40636245</v>
      </c>
      <c r="M56" s="10" t="n">
        <f aca="false">L56*Assumptions!$B$26/12</f>
        <v>1742.88925795306</v>
      </c>
      <c r="N56" s="10" t="n">
        <f aca="false">L56+K56-(IF(L56&gt;0,PMT(Assumptions!$B$26/12,(Assumptions!$B$27*12+1-((YEAR(A56)-YEAR(Assumptions!$B$33))*12+MONTH(A56)-MONTH(Assumptions!$B$33))),-L56),0)-M56)</f>
        <v>1390640.4474341</v>
      </c>
    </row>
    <row r="57" customFormat="false" ht="15.75" hidden="false" customHeight="false" outlineLevel="0" collapsed="false">
      <c r="A57" s="6" t="n">
        <v>47939</v>
      </c>
      <c r="B57" s="8" t="n">
        <f aca="false">IF(A57&lt;Assumptions!$B$4,Assumptions!$B$3,Assumptions!$B$5)</f>
        <v>4500</v>
      </c>
      <c r="C57" s="8" t="n">
        <v>0</v>
      </c>
      <c r="D57" s="8" t="n">
        <f aca="false">IF(A57=Assumptions!$B$14,Assumptions!$B$13,IF(AND(A57&gt;Assumptions!$B$14,N(I56)&gt;0.5),Assumptions!$B$18,0))</f>
        <v>3062.26917357728</v>
      </c>
      <c r="E57" s="8" t="n">
        <f aca="false">IF(A57=Assumptions!$B$14,Assumptions!$B$10,IF(A57&gt;Assumptions!$B$14,D57-J57,0))</f>
        <v>1782.60449408015</v>
      </c>
      <c r="F57" s="8" t="n">
        <f aca="false">IF(A57=Assumptions!$B$25,Assumptions!$B$24,0)+IF(L57&gt;0,PMT(Assumptions!$B$26/12,(Assumptions!$B$27*12+1-((YEAR(A57)-YEAR(Assumptions!$B$33))*12+MONTH(A57)-MONTH(Assumptions!$B$33))),-L57),0)</f>
        <v>5413.84818630807</v>
      </c>
      <c r="G57" s="8" t="n">
        <f aca="false">IF(A57=Assumptions!$B$25,Assumptions!$B$23,0)+IF(L57&gt;0,PMT(Assumptions!$B$26/12,(Assumptions!$B$27*12+1-((YEAR(A57)-YEAR(Assumptions!$B$33))*12+MONTH(A57)-MONTH(Assumptions!$B$33))),-L57),0)-M57</f>
        <v>3675.54762701545</v>
      </c>
      <c r="H57" s="9" t="str">
        <f aca="false">IF(A57=Assumptions!$B$25,"Condo: OTP + S&amp;P + 25% equity paid",IF(A57=Assumptions!$B$14,"HDB: completion, downpayment paid",IFERROR("Condo: "&amp;INDEX(Assumptions!$A$33:$A$40,MATCH(A57,Assumptions!$B$33:$B$40,0)),"")))</f>
        <v/>
      </c>
      <c r="I57" s="10" t="n">
        <f aca="false">IF(A57=Assumptions!$B$14,Assumptions!$B$17,IF(A57&gt;Assumptions!$B$14,N(I56)-E57,0))</f>
        <v>588831.862966134</v>
      </c>
      <c r="J57" s="10" t="n">
        <f aca="false">IF(A57&gt;Assumptions!$B$14,N(I56)*Assumptions!$B$15/12,0)</f>
        <v>1279.66467949713</v>
      </c>
      <c r="K57" s="10" t="n">
        <f aca="false">SUMIFS(Assumptions!$D$33:$D$40,Assumptions!$B$33:$B$40,A57)</f>
        <v>0</v>
      </c>
      <c r="L57" s="10" t="n">
        <f aca="false">N(N56)</f>
        <v>1390640.4474341</v>
      </c>
      <c r="M57" s="10" t="n">
        <f aca="false">L57*Assumptions!$B$26/12</f>
        <v>1738.30055929262</v>
      </c>
      <c r="N57" s="10" t="n">
        <f aca="false">L57+K57-(IF(L57&gt;0,PMT(Assumptions!$B$26/12,(Assumptions!$B$27*12+1-((YEAR(A57)-YEAR(Assumptions!$B$33))*12+MONTH(A57)-MONTH(Assumptions!$B$33))),-L57),0)-M57)</f>
        <v>1386964.89980708</v>
      </c>
    </row>
    <row r="58" customFormat="false" ht="15.75" hidden="false" customHeight="false" outlineLevel="0" collapsed="false">
      <c r="A58" s="6" t="n">
        <v>47969</v>
      </c>
      <c r="B58" s="8" t="n">
        <f aca="false">IF(A58&lt;Assumptions!$B$4,Assumptions!$B$3,Assumptions!$B$5)</f>
        <v>4500</v>
      </c>
      <c r="C58" s="8" t="n">
        <v>0</v>
      </c>
      <c r="D58" s="8" t="n">
        <f aca="false">IF(A58=Assumptions!$B$14,Assumptions!$B$13,IF(AND(A58&gt;Assumptions!$B$14,N(I57)&gt;0.5),Assumptions!$B$18,0))</f>
        <v>3062.26917357728</v>
      </c>
      <c r="E58" s="8" t="n">
        <f aca="false">IF(A58=Assumptions!$B$14,Assumptions!$B$10,IF(A58&gt;Assumptions!$B$14,D58-J58,0))</f>
        <v>1786.46680381732</v>
      </c>
      <c r="F58" s="8" t="n">
        <f aca="false">IF(A58=Assumptions!$B$25,Assumptions!$B$24,0)+IF(L58&gt;0,PMT(Assumptions!$B$26/12,(Assumptions!$B$27*12+1-((YEAR(A58)-YEAR(Assumptions!$B$33))*12+MONTH(A58)-MONTH(Assumptions!$B$33))),-L58),0)</f>
        <v>5413.84818630807</v>
      </c>
      <c r="G58" s="8" t="n">
        <f aca="false">IF(A58=Assumptions!$B$25,Assumptions!$B$23,0)+IF(L58&gt;0,PMT(Assumptions!$B$26/12,(Assumptions!$B$27*12+1-((YEAR(A58)-YEAR(Assumptions!$B$33))*12+MONTH(A58)-MONTH(Assumptions!$B$33))),-L58),0)-M58</f>
        <v>3680.14206154922</v>
      </c>
      <c r="H58" s="9" t="str">
        <f aca="false">IF(A58=Assumptions!$B$25,"Condo: OTP + S&amp;P + 25% equity paid",IF(A58=Assumptions!$B$14,"HDB: completion, downpayment paid",IFERROR("Condo: "&amp;INDEX(Assumptions!$A$33:$A$40,MATCH(A58,Assumptions!$B$33:$B$40,0)),"")))</f>
        <v/>
      </c>
      <c r="I58" s="10" t="n">
        <f aca="false">IF(A58=Assumptions!$B$14,Assumptions!$B$17,IF(A58&gt;Assumptions!$B$14,N(I57)-E58,0))</f>
        <v>587045.396162317</v>
      </c>
      <c r="J58" s="10" t="n">
        <f aca="false">IF(A58&gt;Assumptions!$B$14,N(I57)*Assumptions!$B$15/12,0)</f>
        <v>1275.80236975996</v>
      </c>
      <c r="K58" s="10" t="n">
        <f aca="false">SUMIFS(Assumptions!$D$33:$D$40,Assumptions!$B$33:$B$40,A58)</f>
        <v>0</v>
      </c>
      <c r="L58" s="10" t="n">
        <f aca="false">N(N57)</f>
        <v>1386964.89980708</v>
      </c>
      <c r="M58" s="10" t="n">
        <f aca="false">L58*Assumptions!$B$26/12</f>
        <v>1733.70612475885</v>
      </c>
      <c r="N58" s="10" t="n">
        <f aca="false">L58+K58-(IF(L58&gt;0,PMT(Assumptions!$B$26/12,(Assumptions!$B$27*12+1-((YEAR(A58)-YEAR(Assumptions!$B$33))*12+MONTH(A58)-MONTH(Assumptions!$B$33))),-L58),0)-M58)</f>
        <v>1383284.75774553</v>
      </c>
    </row>
    <row r="59" customFormat="false" ht="15.75" hidden="false" customHeight="false" outlineLevel="0" collapsed="false">
      <c r="A59" s="6" t="n">
        <v>48000</v>
      </c>
      <c r="B59" s="8" t="n">
        <f aca="false">IF(A59&lt;Assumptions!$B$4,Assumptions!$B$3,Assumptions!$B$5)</f>
        <v>4500</v>
      </c>
      <c r="C59" s="8" t="n">
        <v>0</v>
      </c>
      <c r="D59" s="8" t="n">
        <f aca="false">IF(A59=Assumptions!$B$14,Assumptions!$B$13,IF(AND(A59&gt;Assumptions!$B$14,N(I58)&gt;0.5),Assumptions!$B$18,0))</f>
        <v>3062.26917357728</v>
      </c>
      <c r="E59" s="8" t="n">
        <f aca="false">IF(A59=Assumptions!$B$14,Assumptions!$B$10,IF(A59&gt;Assumptions!$B$14,D59-J59,0))</f>
        <v>1790.33748189226</v>
      </c>
      <c r="F59" s="8" t="n">
        <f aca="false">IF(A59=Assumptions!$B$25,Assumptions!$B$24,0)+IF(L59&gt;0,PMT(Assumptions!$B$26/12,(Assumptions!$B$27*12+1-((YEAR(A59)-YEAR(Assumptions!$B$33))*12+MONTH(A59)-MONTH(Assumptions!$B$33))),-L59),0)</f>
        <v>5413.84818630807</v>
      </c>
      <c r="G59" s="8" t="n">
        <f aca="false">IF(A59=Assumptions!$B$25,Assumptions!$B$23,0)+IF(L59&gt;0,PMT(Assumptions!$B$26/12,(Assumptions!$B$27*12+1-((YEAR(A59)-YEAR(Assumptions!$B$33))*12+MONTH(A59)-MONTH(Assumptions!$B$33))),-L59),0)-M59</f>
        <v>3684.74223912616</v>
      </c>
      <c r="H59" s="9" t="str">
        <f aca="false">IF(A59=Assumptions!$B$25,"Condo: OTP + S&amp;P + 25% equity paid",IF(A59=Assumptions!$B$14,"HDB: completion, downpayment paid",IFERROR("Condo: "&amp;INDEX(Assumptions!$A$33:$A$40,MATCH(A59,Assumptions!$B$33:$B$40,0)),"")))</f>
        <v/>
      </c>
      <c r="I59" s="10" t="n">
        <f aca="false">IF(A59=Assumptions!$B$14,Assumptions!$B$17,IF(A59&gt;Assumptions!$B$14,N(I58)-E59,0))</f>
        <v>585255.058680424</v>
      </c>
      <c r="J59" s="10" t="n">
        <f aca="false">IF(A59&gt;Assumptions!$B$14,N(I58)*Assumptions!$B$15/12,0)</f>
        <v>1271.93169168502</v>
      </c>
      <c r="K59" s="10" t="n">
        <f aca="false">SUMIFS(Assumptions!$D$33:$D$40,Assumptions!$B$33:$B$40,A59)</f>
        <v>0</v>
      </c>
      <c r="L59" s="10" t="n">
        <f aca="false">N(N58)</f>
        <v>1383284.75774553</v>
      </c>
      <c r="M59" s="10" t="n">
        <f aca="false">L59*Assumptions!$B$26/12</f>
        <v>1729.10594718191</v>
      </c>
      <c r="N59" s="10" t="n">
        <f aca="false">L59+K59-(IF(L59&gt;0,PMT(Assumptions!$B$26/12,(Assumptions!$B$27*12+1-((YEAR(A59)-YEAR(Assumptions!$B$33))*12+MONTH(A59)-MONTH(Assumptions!$B$33))),-L59),0)-M59)</f>
        <v>1379600.0155064</v>
      </c>
    </row>
    <row r="60" customFormat="false" ht="15.75" hidden="false" customHeight="false" outlineLevel="0" collapsed="false">
      <c r="A60" s="6" t="n">
        <v>48030</v>
      </c>
      <c r="B60" s="8" t="n">
        <f aca="false">IF(A60&lt;Assumptions!$B$4,Assumptions!$B$3,Assumptions!$B$5)</f>
        <v>4500</v>
      </c>
      <c r="C60" s="8" t="n">
        <v>0</v>
      </c>
      <c r="D60" s="8" t="n">
        <f aca="false">IF(A60=Assumptions!$B$14,Assumptions!$B$13,IF(AND(A60&gt;Assumptions!$B$14,N(I59)&gt;0.5),Assumptions!$B$18,0))</f>
        <v>3062.26917357728</v>
      </c>
      <c r="E60" s="8" t="n">
        <f aca="false">IF(A60=Assumptions!$B$14,Assumptions!$B$10,IF(A60&gt;Assumptions!$B$14,D60-J60,0))</f>
        <v>1794.21654643636</v>
      </c>
      <c r="F60" s="8" t="n">
        <f aca="false">IF(A60=Assumptions!$B$25,Assumptions!$B$24,0)+IF(L60&gt;0,PMT(Assumptions!$B$26/12,(Assumptions!$B$27*12+1-((YEAR(A60)-YEAR(Assumptions!$B$33))*12+MONTH(A60)-MONTH(Assumptions!$B$33))),-L60),0)</f>
        <v>5413.84818630807</v>
      </c>
      <c r="G60" s="8" t="n">
        <f aca="false">IF(A60=Assumptions!$B$25,Assumptions!$B$23,0)+IF(L60&gt;0,PMT(Assumptions!$B$26/12,(Assumptions!$B$27*12+1-((YEAR(A60)-YEAR(Assumptions!$B$33))*12+MONTH(A60)-MONTH(Assumptions!$B$33))),-L60),0)-M60</f>
        <v>3689.34816692507</v>
      </c>
      <c r="H60" s="9" t="str">
        <f aca="false">IF(A60=Assumptions!$B$25,"Condo: OTP + S&amp;P + 25% equity paid",IF(A60=Assumptions!$B$14,"HDB: completion, downpayment paid",IFERROR("Condo: "&amp;INDEX(Assumptions!$A$33:$A$40,MATCH(A60,Assumptions!$B$33:$B$40,0)),"")))</f>
        <v/>
      </c>
      <c r="I60" s="10" t="n">
        <f aca="false">IF(A60=Assumptions!$B$14,Assumptions!$B$17,IF(A60&gt;Assumptions!$B$14,N(I59)-E60,0))</f>
        <v>583460.842133988</v>
      </c>
      <c r="J60" s="10" t="n">
        <f aca="false">IF(A60&gt;Assumptions!$B$14,N(I59)*Assumptions!$B$15/12,0)</f>
        <v>1268.05262714092</v>
      </c>
      <c r="K60" s="10" t="n">
        <f aca="false">SUMIFS(Assumptions!$D$33:$D$40,Assumptions!$B$33:$B$40,A60)</f>
        <v>0</v>
      </c>
      <c r="L60" s="10" t="n">
        <f aca="false">N(N59)</f>
        <v>1379600.0155064</v>
      </c>
      <c r="M60" s="10" t="n">
        <f aca="false">L60*Assumptions!$B$26/12</f>
        <v>1724.500019383</v>
      </c>
      <c r="N60" s="10" t="n">
        <f aca="false">L60+K60-(IF(L60&gt;0,PMT(Assumptions!$B$26/12,(Assumptions!$B$27*12+1-((YEAR(A60)-YEAR(Assumptions!$B$33))*12+MONTH(A60)-MONTH(Assumptions!$B$33))),-L60),0)-M60)</f>
        <v>1375910.66733948</v>
      </c>
    </row>
    <row r="61" customFormat="false" ht="15.75" hidden="false" customHeight="false" outlineLevel="0" collapsed="false">
      <c r="A61" s="6" t="n">
        <v>48061</v>
      </c>
      <c r="B61" s="8" t="n">
        <f aca="false">IF(A61&lt;Assumptions!$B$4,Assumptions!$B$3,Assumptions!$B$5)</f>
        <v>4500</v>
      </c>
      <c r="C61" s="8" t="n">
        <v>0</v>
      </c>
      <c r="D61" s="8" t="n">
        <f aca="false">IF(A61=Assumptions!$B$14,Assumptions!$B$13,IF(AND(A61&gt;Assumptions!$B$14,N(I60)&gt;0.5),Assumptions!$B$18,0))</f>
        <v>3062.26917357728</v>
      </c>
      <c r="E61" s="8" t="n">
        <f aca="false">IF(A61=Assumptions!$B$14,Assumptions!$B$10,IF(A61&gt;Assumptions!$B$14,D61-J61,0))</f>
        <v>1798.10401562031</v>
      </c>
      <c r="F61" s="8" t="n">
        <f aca="false">IF(A61=Assumptions!$B$25,Assumptions!$B$24,0)+IF(L61&gt;0,PMT(Assumptions!$B$26/12,(Assumptions!$B$27*12+1-((YEAR(A61)-YEAR(Assumptions!$B$33))*12+MONTH(A61)-MONTH(Assumptions!$B$33))),-L61),0)</f>
        <v>5413.84818630807</v>
      </c>
      <c r="G61" s="8" t="n">
        <f aca="false">IF(A61=Assumptions!$B$25,Assumptions!$B$23,0)+IF(L61&gt;0,PMT(Assumptions!$B$26/12,(Assumptions!$B$27*12+1-((YEAR(A61)-YEAR(Assumptions!$B$33))*12+MONTH(A61)-MONTH(Assumptions!$B$33))),-L61),0)-M61</f>
        <v>3693.95985213372</v>
      </c>
      <c r="H61" s="9" t="str">
        <f aca="false">IF(A61=Assumptions!$B$25,"Condo: OTP + S&amp;P + 25% equity paid",IF(A61=Assumptions!$B$14,"HDB: completion, downpayment paid",IFERROR("Condo: "&amp;INDEX(Assumptions!$A$33:$A$40,MATCH(A61,Assumptions!$B$33:$B$40,0)),"")))</f>
        <v/>
      </c>
      <c r="I61" s="10" t="n">
        <f aca="false">IF(A61=Assumptions!$B$14,Assumptions!$B$17,IF(A61&gt;Assumptions!$B$14,N(I60)-E61,0))</f>
        <v>581662.738118368</v>
      </c>
      <c r="J61" s="10" t="n">
        <f aca="false">IF(A61&gt;Assumptions!$B$14,N(I60)*Assumptions!$B$15/12,0)</f>
        <v>1264.16515795697</v>
      </c>
      <c r="K61" s="10" t="n">
        <f aca="false">SUMIFS(Assumptions!$D$33:$D$40,Assumptions!$B$33:$B$40,A61)</f>
        <v>0</v>
      </c>
      <c r="L61" s="10" t="n">
        <f aca="false">N(N60)</f>
        <v>1375910.66733948</v>
      </c>
      <c r="M61" s="10" t="n">
        <f aca="false">L61*Assumptions!$B$26/12</f>
        <v>1719.88833417435</v>
      </c>
      <c r="N61" s="10" t="n">
        <f aca="false">L61+K61-(IF(L61&gt;0,PMT(Assumptions!$B$26/12,(Assumptions!$B$27*12+1-((YEAR(A61)-YEAR(Assumptions!$B$33))*12+MONTH(A61)-MONTH(Assumptions!$B$33))),-L61),0)-M61)</f>
        <v>1372216.70748735</v>
      </c>
    </row>
    <row r="62" customFormat="false" ht="15.75" hidden="false" customHeight="false" outlineLevel="0" collapsed="false">
      <c r="A62" s="6" t="n">
        <v>48092</v>
      </c>
      <c r="B62" s="8" t="n">
        <f aca="false">IF(A62&lt;Assumptions!$B$4,Assumptions!$B$3,Assumptions!$B$5)</f>
        <v>4500</v>
      </c>
      <c r="C62" s="8" t="n">
        <v>0</v>
      </c>
      <c r="D62" s="8" t="n">
        <f aca="false">IF(A62=Assumptions!$B$14,Assumptions!$B$13,IF(AND(A62&gt;Assumptions!$B$14,N(I61)&gt;0.5),Assumptions!$B$18,0))</f>
        <v>3062.26917357728</v>
      </c>
      <c r="E62" s="8" t="n">
        <f aca="false">IF(A62=Assumptions!$B$14,Assumptions!$B$10,IF(A62&gt;Assumptions!$B$14,D62-J62,0))</f>
        <v>1801.99990765415</v>
      </c>
      <c r="F62" s="8" t="n">
        <f aca="false">IF(A62=Assumptions!$B$25,Assumptions!$B$24,0)+IF(L62&gt;0,PMT(Assumptions!$B$26/12,(Assumptions!$B$27*12+1-((YEAR(A62)-YEAR(Assumptions!$B$33))*12+MONTH(A62)-MONTH(Assumptions!$B$33))),-L62),0)</f>
        <v>5413.84818630807</v>
      </c>
      <c r="G62" s="8" t="n">
        <f aca="false">IF(A62=Assumptions!$B$25,Assumptions!$B$23,0)+IF(L62&gt;0,PMT(Assumptions!$B$26/12,(Assumptions!$B$27*12+1-((YEAR(A62)-YEAR(Assumptions!$B$33))*12+MONTH(A62)-MONTH(Assumptions!$B$33))),-L62),0)-M62</f>
        <v>3698.57730194889</v>
      </c>
      <c r="H62" s="9" t="str">
        <f aca="false">IF(A62=Assumptions!$B$25,"Condo: OTP + S&amp;P + 25% equity paid",IF(A62=Assumptions!$B$14,"HDB: completion, downpayment paid",IFERROR("Condo: "&amp;INDEX(Assumptions!$A$33:$A$40,MATCH(A62,Assumptions!$B$33:$B$40,0)),"")))</f>
        <v/>
      </c>
      <c r="I62" s="10" t="n">
        <f aca="false">IF(A62=Assumptions!$B$14,Assumptions!$B$17,IF(A62&gt;Assumptions!$B$14,N(I61)-E62,0))</f>
        <v>579860.738210714</v>
      </c>
      <c r="J62" s="10" t="n">
        <f aca="false">IF(A62&gt;Assumptions!$B$14,N(I61)*Assumptions!$B$15/12,0)</f>
        <v>1260.26926592313</v>
      </c>
      <c r="K62" s="10" t="n">
        <f aca="false">SUMIFS(Assumptions!$D$33:$D$40,Assumptions!$B$33:$B$40,A62)</f>
        <v>0</v>
      </c>
      <c r="L62" s="10" t="n">
        <f aca="false">N(N61)</f>
        <v>1372216.70748735</v>
      </c>
      <c r="M62" s="10" t="n">
        <f aca="false">L62*Assumptions!$B$26/12</f>
        <v>1715.27088435918</v>
      </c>
      <c r="N62" s="10" t="n">
        <f aca="false">L62+K62-(IF(L62&gt;0,PMT(Assumptions!$B$26/12,(Assumptions!$B$27*12+1-((YEAR(A62)-YEAR(Assumptions!$B$33))*12+MONTH(A62)-MONTH(Assumptions!$B$33))),-L62),0)-M62)</f>
        <v>1368518.1301854</v>
      </c>
    </row>
    <row r="63" customFormat="false" ht="15.75" hidden="false" customHeight="false" outlineLevel="0" collapsed="false">
      <c r="A63" s="6" t="n">
        <v>48122</v>
      </c>
      <c r="B63" s="8" t="n">
        <f aca="false">IF(A63&lt;Assumptions!$B$4,Assumptions!$B$3,Assumptions!$B$5)</f>
        <v>4500</v>
      </c>
      <c r="C63" s="8" t="n">
        <v>0</v>
      </c>
      <c r="D63" s="8" t="n">
        <f aca="false">IF(A63=Assumptions!$B$14,Assumptions!$B$13,IF(AND(A63&gt;Assumptions!$B$14,N(I62)&gt;0.5),Assumptions!$B$18,0))</f>
        <v>3062.26917357728</v>
      </c>
      <c r="E63" s="8" t="n">
        <f aca="false">IF(A63=Assumptions!$B$14,Assumptions!$B$10,IF(A63&gt;Assumptions!$B$14,D63-J63,0))</f>
        <v>1805.9042407874</v>
      </c>
      <c r="F63" s="8" t="n">
        <f aca="false">IF(A63=Assumptions!$B$25,Assumptions!$B$24,0)+IF(L63&gt;0,PMT(Assumptions!$B$26/12,(Assumptions!$B$27*12+1-((YEAR(A63)-YEAR(Assumptions!$B$33))*12+MONTH(A63)-MONTH(Assumptions!$B$33))),-L63),0)</f>
        <v>5413.84818630807</v>
      </c>
      <c r="G63" s="8" t="n">
        <f aca="false">IF(A63=Assumptions!$B$25,Assumptions!$B$23,0)+IF(L63&gt;0,PMT(Assumptions!$B$26/12,(Assumptions!$B$27*12+1-((YEAR(A63)-YEAR(Assumptions!$B$33))*12+MONTH(A63)-MONTH(Assumptions!$B$33))),-L63),0)-M63</f>
        <v>3703.20052357633</v>
      </c>
      <c r="H63" s="9" t="str">
        <f aca="false">IF(A63=Assumptions!$B$25,"Condo: OTP + S&amp;P + 25% equity paid",IF(A63=Assumptions!$B$14,"HDB: completion, downpayment paid",IFERROR("Condo: "&amp;INDEX(Assumptions!$A$33:$A$40,MATCH(A63,Assumptions!$B$33:$B$40,0)),"")))</f>
        <v/>
      </c>
      <c r="I63" s="10" t="n">
        <f aca="false">IF(A63=Assumptions!$B$14,Assumptions!$B$17,IF(A63&gt;Assumptions!$B$14,N(I62)-E63,0))</f>
        <v>578054.833969926</v>
      </c>
      <c r="J63" s="10" t="n">
        <f aca="false">IF(A63&gt;Assumptions!$B$14,N(I62)*Assumptions!$B$15/12,0)</f>
        <v>1256.36493278988</v>
      </c>
      <c r="K63" s="10" t="n">
        <f aca="false">SUMIFS(Assumptions!$D$33:$D$40,Assumptions!$B$33:$B$40,A63)</f>
        <v>0</v>
      </c>
      <c r="L63" s="10" t="n">
        <f aca="false">N(N62)</f>
        <v>1368518.1301854</v>
      </c>
      <c r="M63" s="10" t="n">
        <f aca="false">L63*Assumptions!$B$26/12</f>
        <v>1710.64766273175</v>
      </c>
      <c r="N63" s="10" t="n">
        <f aca="false">L63+K63-(IF(L63&gt;0,PMT(Assumptions!$B$26/12,(Assumptions!$B$27*12+1-((YEAR(A63)-YEAR(Assumptions!$B$33))*12+MONTH(A63)-MONTH(Assumptions!$B$33))),-L63),0)-M63)</f>
        <v>1364814.92966182</v>
      </c>
    </row>
    <row r="64" customFormat="false" ht="15.75" hidden="false" customHeight="false" outlineLevel="0" collapsed="false">
      <c r="A64" s="6" t="n">
        <v>48153</v>
      </c>
      <c r="B64" s="8" t="n">
        <f aca="false">IF(A64&lt;Assumptions!$B$4,Assumptions!$B$3,Assumptions!$B$5)</f>
        <v>4500</v>
      </c>
      <c r="C64" s="8" t="n">
        <v>0</v>
      </c>
      <c r="D64" s="8" t="n">
        <f aca="false">IF(A64=Assumptions!$B$14,Assumptions!$B$13,IF(AND(A64&gt;Assumptions!$B$14,N(I63)&gt;0.5),Assumptions!$B$18,0))</f>
        <v>3062.26917357728</v>
      </c>
      <c r="E64" s="8" t="n">
        <f aca="false">IF(A64=Assumptions!$B$14,Assumptions!$B$10,IF(A64&gt;Assumptions!$B$14,D64-J64,0))</f>
        <v>1809.81703330911</v>
      </c>
      <c r="F64" s="8" t="n">
        <f aca="false">IF(A64=Assumptions!$B$25,Assumptions!$B$24,0)+IF(L64&gt;0,PMT(Assumptions!$B$26/12,(Assumptions!$B$27*12+1-((YEAR(A64)-YEAR(Assumptions!$B$33))*12+MONTH(A64)-MONTH(Assumptions!$B$33))),-L64),0)</f>
        <v>5413.84818630807</v>
      </c>
      <c r="G64" s="8" t="n">
        <f aca="false">IF(A64=Assumptions!$B$25,Assumptions!$B$23,0)+IF(L64&gt;0,PMT(Assumptions!$B$26/12,(Assumptions!$B$27*12+1-((YEAR(A64)-YEAR(Assumptions!$B$33))*12+MONTH(A64)-MONTH(Assumptions!$B$33))),-L64),0)-M64</f>
        <v>3707.8295242308</v>
      </c>
      <c r="H64" s="9" t="str">
        <f aca="false">IF(A64=Assumptions!$B$25,"Condo: OTP + S&amp;P + 25% equity paid",IF(A64=Assumptions!$B$14,"HDB: completion, downpayment paid",IFERROR("Condo: "&amp;INDEX(Assumptions!$A$33:$A$40,MATCH(A64,Assumptions!$B$33:$B$40,0)),"")))</f>
        <v/>
      </c>
      <c r="I64" s="10" t="n">
        <f aca="false">IF(A64=Assumptions!$B$14,Assumptions!$B$17,IF(A64&gt;Assumptions!$B$14,N(I63)-E64,0))</f>
        <v>576245.016936617</v>
      </c>
      <c r="J64" s="10" t="n">
        <f aca="false">IF(A64&gt;Assumptions!$B$14,N(I63)*Assumptions!$B$15/12,0)</f>
        <v>1252.45214026817</v>
      </c>
      <c r="K64" s="10" t="n">
        <f aca="false">SUMIFS(Assumptions!$D$33:$D$40,Assumptions!$B$33:$B$40,A64)</f>
        <v>0</v>
      </c>
      <c r="L64" s="10" t="n">
        <f aca="false">N(N63)</f>
        <v>1364814.92966182</v>
      </c>
      <c r="M64" s="10" t="n">
        <f aca="false">L64*Assumptions!$B$26/12</f>
        <v>1706.01866207728</v>
      </c>
      <c r="N64" s="10" t="n">
        <f aca="false">L64+K64-(IF(L64&gt;0,PMT(Assumptions!$B$26/12,(Assumptions!$B$27*12+1-((YEAR(A64)-YEAR(Assumptions!$B$33))*12+MONTH(A64)-MONTH(Assumptions!$B$33))),-L64),0)-M64)</f>
        <v>1361107.10013759</v>
      </c>
    </row>
    <row r="65" customFormat="false" ht="15.75" hidden="false" customHeight="false" outlineLevel="0" collapsed="false">
      <c r="A65" s="6" t="n">
        <v>48183</v>
      </c>
      <c r="B65" s="8" t="n">
        <f aca="false">IF(A65&lt;Assumptions!$B$4,Assumptions!$B$3,Assumptions!$B$5)</f>
        <v>4500</v>
      </c>
      <c r="C65" s="8" t="n">
        <v>0</v>
      </c>
      <c r="D65" s="8" t="n">
        <f aca="false">IF(A65=Assumptions!$B$14,Assumptions!$B$13,IF(AND(A65&gt;Assumptions!$B$14,N(I64)&gt;0.5),Assumptions!$B$18,0))</f>
        <v>3062.26917357728</v>
      </c>
      <c r="E65" s="8" t="n">
        <f aca="false">IF(A65=Assumptions!$B$14,Assumptions!$B$10,IF(A65&gt;Assumptions!$B$14,D65-J65,0))</f>
        <v>1813.73830354794</v>
      </c>
      <c r="F65" s="8" t="n">
        <f aca="false">IF(A65=Assumptions!$B$25,Assumptions!$B$24,0)+IF(L65&gt;0,PMT(Assumptions!$B$26/12,(Assumptions!$B$27*12+1-((YEAR(A65)-YEAR(Assumptions!$B$33))*12+MONTH(A65)-MONTH(Assumptions!$B$33))),-L65),0)</f>
        <v>5413.84818630807</v>
      </c>
      <c r="G65" s="8" t="n">
        <f aca="false">IF(A65=Assumptions!$B$25,Assumptions!$B$23,0)+IF(L65&gt;0,PMT(Assumptions!$B$26/12,(Assumptions!$B$27*12+1-((YEAR(A65)-YEAR(Assumptions!$B$33))*12+MONTH(A65)-MONTH(Assumptions!$B$33))),-L65),0)-M65</f>
        <v>3712.46431113608</v>
      </c>
      <c r="H65" s="9" t="str">
        <f aca="false">IF(A65=Assumptions!$B$25,"Condo: OTP + S&amp;P + 25% equity paid",IF(A65=Assumptions!$B$14,"HDB: completion, downpayment paid",IFERROR("Condo: "&amp;INDEX(Assumptions!$A$33:$A$40,MATCH(A65,Assumptions!$B$33:$B$40,0)),"")))</f>
        <v/>
      </c>
      <c r="I65" s="10" t="n">
        <f aca="false">IF(A65=Assumptions!$B$14,Assumptions!$B$17,IF(A65&gt;Assumptions!$B$14,N(I64)-E65,0))</f>
        <v>574431.278633069</v>
      </c>
      <c r="J65" s="10" t="n">
        <f aca="false">IF(A65&gt;Assumptions!$B$14,N(I64)*Assumptions!$B$15/12,0)</f>
        <v>1248.53087002934</v>
      </c>
      <c r="K65" s="10" t="n">
        <f aca="false">SUMIFS(Assumptions!$D$33:$D$40,Assumptions!$B$33:$B$40,A65)</f>
        <v>0</v>
      </c>
      <c r="L65" s="10" t="n">
        <f aca="false">N(N64)</f>
        <v>1361107.10013759</v>
      </c>
      <c r="M65" s="10" t="n">
        <f aca="false">L65*Assumptions!$B$26/12</f>
        <v>1701.38387517199</v>
      </c>
      <c r="N65" s="10" t="n">
        <f aca="false">L65+K65-(IF(L65&gt;0,PMT(Assumptions!$B$26/12,(Assumptions!$B$27*12+1-((YEAR(A65)-YEAR(Assumptions!$B$33))*12+MONTH(A65)-MONTH(Assumptions!$B$33))),-L65),0)-M65)</f>
        <v>1357394.63582645</v>
      </c>
    </row>
    <row r="66" customFormat="false" ht="15.75" hidden="false" customHeight="false" outlineLevel="0" collapsed="false">
      <c r="A66" s="6" t="n">
        <v>48214</v>
      </c>
      <c r="B66" s="8" t="n">
        <f aca="false">IF(A66&lt;Assumptions!$B$4,Assumptions!$B$3,Assumptions!$B$5)</f>
        <v>4500</v>
      </c>
      <c r="C66" s="8" t="n">
        <v>0</v>
      </c>
      <c r="D66" s="8" t="n">
        <f aca="false">IF(A66=Assumptions!$B$14,Assumptions!$B$13,IF(AND(A66&gt;Assumptions!$B$14,N(I65)&gt;0.5),Assumptions!$B$18,0))</f>
        <v>3062.26917357728</v>
      </c>
      <c r="E66" s="8" t="n">
        <f aca="false">IF(A66=Assumptions!$B$14,Assumptions!$B$10,IF(A66&gt;Assumptions!$B$14,D66-J66,0))</f>
        <v>1817.6680698723</v>
      </c>
      <c r="F66" s="8" t="n">
        <f aca="false">IF(A66=Assumptions!$B$25,Assumptions!$B$24,0)+IF(L66&gt;0,PMT(Assumptions!$B$26/12,(Assumptions!$B$27*12+1-((YEAR(A66)-YEAR(Assumptions!$B$33))*12+MONTH(A66)-MONTH(Assumptions!$B$33))),-L66),0)</f>
        <v>5413.84818630807</v>
      </c>
      <c r="G66" s="8" t="n">
        <f aca="false">IF(A66=Assumptions!$B$25,Assumptions!$B$23,0)+IF(L66&gt;0,PMT(Assumptions!$B$26/12,(Assumptions!$B$27*12+1-((YEAR(A66)-YEAR(Assumptions!$B$33))*12+MONTH(A66)-MONTH(Assumptions!$B$33))),-L66),0)-M66</f>
        <v>3717.104891525</v>
      </c>
      <c r="H66" s="9" t="str">
        <f aca="false">IF(A66=Assumptions!$B$25,"Condo: OTP + S&amp;P + 25% equity paid",IF(A66=Assumptions!$B$14,"HDB: completion, downpayment paid",IFERROR("Condo: "&amp;INDEX(Assumptions!$A$33:$A$40,MATCH(A66,Assumptions!$B$33:$B$40,0)),"")))</f>
        <v/>
      </c>
      <c r="I66" s="10" t="n">
        <f aca="false">IF(A66=Assumptions!$B$14,Assumptions!$B$17,IF(A66&gt;Assumptions!$B$14,N(I65)-E66,0))</f>
        <v>572613.610563197</v>
      </c>
      <c r="J66" s="10" t="n">
        <f aca="false">IF(A66&gt;Assumptions!$B$14,N(I65)*Assumptions!$B$15/12,0)</f>
        <v>1244.60110370498</v>
      </c>
      <c r="K66" s="10" t="n">
        <f aca="false">SUMIFS(Assumptions!$D$33:$D$40,Assumptions!$B$33:$B$40,A66)</f>
        <v>0</v>
      </c>
      <c r="L66" s="10" t="n">
        <f aca="false">N(N65)</f>
        <v>1357394.63582645</v>
      </c>
      <c r="M66" s="10" t="n">
        <f aca="false">L66*Assumptions!$B$26/12</f>
        <v>1696.74329478307</v>
      </c>
      <c r="N66" s="10" t="n">
        <f aca="false">L66+K66-(IF(L66&gt;0,PMT(Assumptions!$B$26/12,(Assumptions!$B$27*12+1-((YEAR(A66)-YEAR(Assumptions!$B$33))*12+MONTH(A66)-MONTH(Assumptions!$B$33))),-L66),0)-M66)</f>
        <v>1353677.53093493</v>
      </c>
    </row>
    <row r="67" customFormat="false" ht="15.75" hidden="false" customHeight="false" outlineLevel="0" collapsed="false">
      <c r="A67" s="6" t="n">
        <v>48245</v>
      </c>
      <c r="B67" s="8" t="n">
        <f aca="false">IF(A67&lt;Assumptions!$B$4,Assumptions!$B$3,Assumptions!$B$5)</f>
        <v>4500</v>
      </c>
      <c r="C67" s="8" t="n">
        <v>0</v>
      </c>
      <c r="D67" s="8" t="n">
        <f aca="false">IF(A67=Assumptions!$B$14,Assumptions!$B$13,IF(AND(A67&gt;Assumptions!$B$14,N(I66)&gt;0.5),Assumptions!$B$18,0))</f>
        <v>3062.26917357728</v>
      </c>
      <c r="E67" s="8" t="n">
        <f aca="false">IF(A67=Assumptions!$B$14,Assumptions!$B$10,IF(A67&gt;Assumptions!$B$14,D67-J67,0))</f>
        <v>1821.60635069035</v>
      </c>
      <c r="F67" s="8" t="n">
        <f aca="false">IF(A67=Assumptions!$B$25,Assumptions!$B$24,0)+IF(L67&gt;0,PMT(Assumptions!$B$26/12,(Assumptions!$B$27*12+1-((YEAR(A67)-YEAR(Assumptions!$B$33))*12+MONTH(A67)-MONTH(Assumptions!$B$33))),-L67),0)</f>
        <v>5413.84818630807</v>
      </c>
      <c r="G67" s="8" t="n">
        <f aca="false">IF(A67=Assumptions!$B$25,Assumptions!$B$23,0)+IF(L67&gt;0,PMT(Assumptions!$B$26/12,(Assumptions!$B$27*12+1-((YEAR(A67)-YEAR(Assumptions!$B$33))*12+MONTH(A67)-MONTH(Assumptions!$B$33))),-L67),0)-M67</f>
        <v>3721.75127263941</v>
      </c>
      <c r="H67" s="9" t="str">
        <f aca="false">IF(A67=Assumptions!$B$25,"Condo: OTP + S&amp;P + 25% equity paid",IF(A67=Assumptions!$B$14,"HDB: completion, downpayment paid",IFERROR("Condo: "&amp;INDEX(Assumptions!$A$33:$A$40,MATCH(A67,Assumptions!$B$33:$B$40,0)),"")))</f>
        <v/>
      </c>
      <c r="I67" s="10" t="n">
        <f aca="false">IF(A67=Assumptions!$B$14,Assumptions!$B$17,IF(A67&gt;Assumptions!$B$14,N(I66)-E67,0))</f>
        <v>570792.004212507</v>
      </c>
      <c r="J67" s="10" t="n">
        <f aca="false">IF(A67&gt;Assumptions!$B$14,N(I66)*Assumptions!$B$15/12,0)</f>
        <v>1240.66282288693</v>
      </c>
      <c r="K67" s="10" t="n">
        <f aca="false">SUMIFS(Assumptions!$D$33:$D$40,Assumptions!$B$33:$B$40,A67)</f>
        <v>0</v>
      </c>
      <c r="L67" s="10" t="n">
        <f aca="false">N(N66)</f>
        <v>1353677.53093493</v>
      </c>
      <c r="M67" s="10" t="n">
        <f aca="false">L67*Assumptions!$B$26/12</f>
        <v>1692.09691366866</v>
      </c>
      <c r="N67" s="10" t="n">
        <f aca="false">L67+K67-(IF(L67&gt;0,PMT(Assumptions!$B$26/12,(Assumptions!$B$27*12+1-((YEAR(A67)-YEAR(Assumptions!$B$33))*12+MONTH(A67)-MONTH(Assumptions!$B$33))),-L67),0)-M67)</f>
        <v>1349955.77966229</v>
      </c>
    </row>
    <row r="68" customFormat="false" ht="15.75" hidden="false" customHeight="false" outlineLevel="0" collapsed="false">
      <c r="A68" s="6" t="n">
        <v>48274</v>
      </c>
      <c r="B68" s="8" t="n">
        <f aca="false">IF(A68&lt;Assumptions!$B$4,Assumptions!$B$3,Assumptions!$B$5)</f>
        <v>4500</v>
      </c>
      <c r="C68" s="8" t="n">
        <v>0</v>
      </c>
      <c r="D68" s="8" t="n">
        <f aca="false">IF(A68=Assumptions!$B$14,Assumptions!$B$13,IF(AND(A68&gt;Assumptions!$B$14,N(I67)&gt;0.5),Assumptions!$B$18,0))</f>
        <v>3062.26917357728</v>
      </c>
      <c r="E68" s="8" t="n">
        <f aca="false">IF(A68=Assumptions!$B$14,Assumptions!$B$10,IF(A68&gt;Assumptions!$B$14,D68-J68,0))</f>
        <v>1825.55316445018</v>
      </c>
      <c r="F68" s="8" t="n">
        <f aca="false">IF(A68=Assumptions!$B$25,Assumptions!$B$24,0)+IF(L68&gt;0,PMT(Assumptions!$B$26/12,(Assumptions!$B$27*12+1-((YEAR(A68)-YEAR(Assumptions!$B$33))*12+MONTH(A68)-MONTH(Assumptions!$B$33))),-L68),0)</f>
        <v>5413.84818630807</v>
      </c>
      <c r="G68" s="8" t="n">
        <f aca="false">IF(A68=Assumptions!$B$25,Assumptions!$B$23,0)+IF(L68&gt;0,PMT(Assumptions!$B$26/12,(Assumptions!$B$27*12+1-((YEAR(A68)-YEAR(Assumptions!$B$33))*12+MONTH(A68)-MONTH(Assumptions!$B$33))),-L68),0)-M68</f>
        <v>3726.40346173021</v>
      </c>
      <c r="H68" s="9" t="str">
        <f aca="false">IF(A68=Assumptions!$B$25,"Condo: OTP + S&amp;P + 25% equity paid",IF(A68=Assumptions!$B$14,"HDB: completion, downpayment paid",IFERROR("Condo: "&amp;INDEX(Assumptions!$A$33:$A$40,MATCH(A68,Assumptions!$B$33:$B$40,0)),"")))</f>
        <v/>
      </c>
      <c r="I68" s="10" t="n">
        <f aca="false">IF(A68=Assumptions!$B$14,Assumptions!$B$17,IF(A68&gt;Assumptions!$B$14,N(I67)-E68,0))</f>
        <v>568966.451048056</v>
      </c>
      <c r="J68" s="10" t="n">
        <f aca="false">IF(A68&gt;Assumptions!$B$14,N(I67)*Assumptions!$B$15/12,0)</f>
        <v>1236.7160091271</v>
      </c>
      <c r="K68" s="10" t="n">
        <f aca="false">SUMIFS(Assumptions!$D$33:$D$40,Assumptions!$B$33:$B$40,A68)</f>
        <v>0</v>
      </c>
      <c r="L68" s="10" t="n">
        <f aca="false">N(N67)</f>
        <v>1349955.77966229</v>
      </c>
      <c r="M68" s="10" t="n">
        <f aca="false">L68*Assumptions!$B$26/12</f>
        <v>1687.44472457786</v>
      </c>
      <c r="N68" s="10" t="n">
        <f aca="false">L68+K68-(IF(L68&gt;0,PMT(Assumptions!$B$26/12,(Assumptions!$B$27*12+1-((YEAR(A68)-YEAR(Assumptions!$B$33))*12+MONTH(A68)-MONTH(Assumptions!$B$33))),-L68),0)-M68)</f>
        <v>1346229.37620056</v>
      </c>
    </row>
    <row r="69" customFormat="false" ht="15.75" hidden="false" customHeight="false" outlineLevel="0" collapsed="false">
      <c r="A69" s="6" t="n">
        <v>48305</v>
      </c>
      <c r="B69" s="8" t="n">
        <f aca="false">IF(A69&lt;Assumptions!$B$4,Assumptions!$B$3,Assumptions!$B$5)</f>
        <v>4500</v>
      </c>
      <c r="C69" s="8" t="n">
        <v>0</v>
      </c>
      <c r="D69" s="8" t="n">
        <f aca="false">IF(A69=Assumptions!$B$14,Assumptions!$B$13,IF(AND(A69&gt;Assumptions!$B$14,N(I68)&gt;0.5),Assumptions!$B$18,0))</f>
        <v>3062.26917357728</v>
      </c>
      <c r="E69" s="8" t="n">
        <f aca="false">IF(A69=Assumptions!$B$14,Assumptions!$B$10,IF(A69&gt;Assumptions!$B$14,D69-J69,0))</f>
        <v>1829.50852963983</v>
      </c>
      <c r="F69" s="8" t="n">
        <f aca="false">IF(A69=Assumptions!$B$25,Assumptions!$B$24,0)+IF(L69&gt;0,PMT(Assumptions!$B$26/12,(Assumptions!$B$27*12+1-((YEAR(A69)-YEAR(Assumptions!$B$33))*12+MONTH(A69)-MONTH(Assumptions!$B$33))),-L69),0)</f>
        <v>5413.84818630807</v>
      </c>
      <c r="G69" s="8" t="n">
        <f aca="false">IF(A69=Assumptions!$B$25,Assumptions!$B$23,0)+IF(L69&gt;0,PMT(Assumptions!$B$26/12,(Assumptions!$B$27*12+1-((YEAR(A69)-YEAR(Assumptions!$B$33))*12+MONTH(A69)-MONTH(Assumptions!$B$33))),-L69),0)-M69</f>
        <v>3731.06146605737</v>
      </c>
      <c r="H69" s="9" t="str">
        <f aca="false">IF(A69=Assumptions!$B$25,"Condo: OTP + S&amp;P + 25% equity paid",IF(A69=Assumptions!$B$14,"HDB: completion, downpayment paid",IFERROR("Condo: "&amp;INDEX(Assumptions!$A$33:$A$40,MATCH(A69,Assumptions!$B$33:$B$40,0)),"")))</f>
        <v/>
      </c>
      <c r="I69" s="10" t="n">
        <f aca="false">IF(A69=Assumptions!$B$14,Assumptions!$B$17,IF(A69&gt;Assumptions!$B$14,N(I68)-E69,0))</f>
        <v>567136.942518416</v>
      </c>
      <c r="J69" s="10" t="n">
        <f aca="false">IF(A69&gt;Assumptions!$B$14,N(I68)*Assumptions!$B$15/12,0)</f>
        <v>1232.76064393746</v>
      </c>
      <c r="K69" s="10" t="n">
        <f aca="false">SUMIFS(Assumptions!$D$33:$D$40,Assumptions!$B$33:$B$40,A69)</f>
        <v>0</v>
      </c>
      <c r="L69" s="10" t="n">
        <f aca="false">N(N68)</f>
        <v>1346229.37620056</v>
      </c>
      <c r="M69" s="10" t="n">
        <f aca="false">L69*Assumptions!$B$26/12</f>
        <v>1682.7867202507</v>
      </c>
      <c r="N69" s="10" t="n">
        <f aca="false">L69+K69-(IF(L69&gt;0,PMT(Assumptions!$B$26/12,(Assumptions!$B$27*12+1-((YEAR(A69)-YEAR(Assumptions!$B$33))*12+MONTH(A69)-MONTH(Assumptions!$B$33))),-L69),0)-M69)</f>
        <v>1342498.3147345</v>
      </c>
    </row>
    <row r="70" customFormat="false" ht="15.75" hidden="false" customHeight="false" outlineLevel="0" collapsed="false">
      <c r="A70" s="6" t="n">
        <v>48335</v>
      </c>
      <c r="B70" s="8" t="n">
        <f aca="false">IF(A70&lt;Assumptions!$B$4,Assumptions!$B$3,Assumptions!$B$5)</f>
        <v>4500</v>
      </c>
      <c r="C70" s="8" t="n">
        <v>0</v>
      </c>
      <c r="D70" s="8" t="n">
        <f aca="false">IF(A70=Assumptions!$B$14,Assumptions!$B$13,IF(AND(A70&gt;Assumptions!$B$14,N(I69)&gt;0.5),Assumptions!$B$18,0))</f>
        <v>3062.26917357728</v>
      </c>
      <c r="E70" s="8" t="n">
        <f aca="false">IF(A70=Assumptions!$B$14,Assumptions!$B$10,IF(A70&gt;Assumptions!$B$14,D70-J70,0))</f>
        <v>1833.47246478738</v>
      </c>
      <c r="F70" s="8" t="n">
        <f aca="false">IF(A70=Assumptions!$B$25,Assumptions!$B$24,0)+IF(L70&gt;0,PMT(Assumptions!$B$26/12,(Assumptions!$B$27*12+1-((YEAR(A70)-YEAR(Assumptions!$B$33))*12+MONTH(A70)-MONTH(Assumptions!$B$33))),-L70),0)</f>
        <v>5413.84818630807</v>
      </c>
      <c r="G70" s="8" t="n">
        <f aca="false">IF(A70=Assumptions!$B$25,Assumptions!$B$23,0)+IF(L70&gt;0,PMT(Assumptions!$B$26/12,(Assumptions!$B$27*12+1-((YEAR(A70)-YEAR(Assumptions!$B$33))*12+MONTH(A70)-MONTH(Assumptions!$B$33))),-L70),0)-M70</f>
        <v>3735.72529288994</v>
      </c>
      <c r="H70" s="9" t="str">
        <f aca="false">IF(A70=Assumptions!$B$25,"Condo: OTP + S&amp;P + 25% equity paid",IF(A70=Assumptions!$B$14,"HDB: completion, downpayment paid",IFERROR("Condo: "&amp;INDEX(Assumptions!$A$33:$A$40,MATCH(A70,Assumptions!$B$33:$B$40,0)),"")))</f>
        <v/>
      </c>
      <c r="I70" s="10" t="n">
        <f aca="false">IF(A70=Assumptions!$B$14,Assumptions!$B$17,IF(A70&gt;Assumptions!$B$14,N(I69)-E70,0))</f>
        <v>565303.470053629</v>
      </c>
      <c r="J70" s="10" t="n">
        <f aca="false">IF(A70&gt;Assumptions!$B$14,N(I69)*Assumptions!$B$15/12,0)</f>
        <v>1228.7967087899</v>
      </c>
      <c r="K70" s="10" t="n">
        <f aca="false">SUMIFS(Assumptions!$D$33:$D$40,Assumptions!$B$33:$B$40,A70)</f>
        <v>0</v>
      </c>
      <c r="L70" s="10" t="n">
        <f aca="false">N(N69)</f>
        <v>1342498.3147345</v>
      </c>
      <c r="M70" s="10" t="n">
        <f aca="false">L70*Assumptions!$B$26/12</f>
        <v>1678.12289341813</v>
      </c>
      <c r="N70" s="10" t="n">
        <f aca="false">L70+K70-(IF(L70&gt;0,PMT(Assumptions!$B$26/12,(Assumptions!$B$27*12+1-((YEAR(A70)-YEAR(Assumptions!$B$33))*12+MONTH(A70)-MONTH(Assumptions!$B$33))),-L70),0)-M70)</f>
        <v>1338762.58944161</v>
      </c>
    </row>
    <row r="71" customFormat="false" ht="15.75" hidden="false" customHeight="false" outlineLevel="0" collapsed="false">
      <c r="A71" s="6" t="n">
        <v>48366</v>
      </c>
      <c r="B71" s="8" t="n">
        <f aca="false">IF(A71&lt;Assumptions!$B$4,Assumptions!$B$3,Assumptions!$B$5)</f>
        <v>4500</v>
      </c>
      <c r="C71" s="8" t="n">
        <v>0</v>
      </c>
      <c r="D71" s="8" t="n">
        <f aca="false">IF(A71=Assumptions!$B$14,Assumptions!$B$13,IF(AND(A71&gt;Assumptions!$B$14,N(I70)&gt;0.5),Assumptions!$B$18,0))</f>
        <v>3062.26917357728</v>
      </c>
      <c r="E71" s="8" t="n">
        <f aca="false">IF(A71=Assumptions!$B$14,Assumptions!$B$10,IF(A71&gt;Assumptions!$B$14,D71-J71,0))</f>
        <v>1837.44498846109</v>
      </c>
      <c r="F71" s="8" t="n">
        <f aca="false">IF(A71=Assumptions!$B$25,Assumptions!$B$24,0)+IF(L71&gt;0,PMT(Assumptions!$B$26/12,(Assumptions!$B$27*12+1-((YEAR(A71)-YEAR(Assumptions!$B$33))*12+MONTH(A71)-MONTH(Assumptions!$B$33))),-L71),0)</f>
        <v>5413.84818630807</v>
      </c>
      <c r="G71" s="8" t="n">
        <f aca="false">IF(A71=Assumptions!$B$25,Assumptions!$B$23,0)+IF(L71&gt;0,PMT(Assumptions!$B$26/12,(Assumptions!$B$27*12+1-((YEAR(A71)-YEAR(Assumptions!$B$33))*12+MONTH(A71)-MONTH(Assumptions!$B$33))),-L71),0)-M71</f>
        <v>3740.39494950606</v>
      </c>
      <c r="H71" s="9" t="str">
        <f aca="false">IF(A71=Assumptions!$B$25,"Condo: OTP + S&amp;P + 25% equity paid",IF(A71=Assumptions!$B$14,"HDB: completion, downpayment paid",IFERROR("Condo: "&amp;INDEX(Assumptions!$A$33:$A$40,MATCH(A71,Assumptions!$B$33:$B$40,0)),"")))</f>
        <v/>
      </c>
      <c r="I71" s="10" t="n">
        <f aca="false">IF(A71=Assumptions!$B$14,Assumptions!$B$17,IF(A71&gt;Assumptions!$B$14,N(I70)-E71,0))</f>
        <v>563466.025065168</v>
      </c>
      <c r="J71" s="10" t="n">
        <f aca="false">IF(A71&gt;Assumptions!$B$14,N(I70)*Assumptions!$B$15/12,0)</f>
        <v>1224.8241851162</v>
      </c>
      <c r="K71" s="10" t="n">
        <f aca="false">SUMIFS(Assumptions!$D$33:$D$40,Assumptions!$B$33:$B$40,A71)</f>
        <v>0</v>
      </c>
      <c r="L71" s="10" t="n">
        <f aca="false">N(N70)</f>
        <v>1338762.58944161</v>
      </c>
      <c r="M71" s="10" t="n">
        <f aca="false">L71*Assumptions!$B$26/12</f>
        <v>1673.45323680201</v>
      </c>
      <c r="N71" s="10" t="n">
        <f aca="false">L71+K71-(IF(L71&gt;0,PMT(Assumptions!$B$26/12,(Assumptions!$B$27*12+1-((YEAR(A71)-YEAR(Assumptions!$B$33))*12+MONTH(A71)-MONTH(Assumptions!$B$33))),-L71),0)-M71)</f>
        <v>1335022.19449211</v>
      </c>
    </row>
    <row r="72" customFormat="false" ht="15.75" hidden="false" customHeight="false" outlineLevel="0" collapsed="false">
      <c r="A72" s="6" t="n">
        <v>48396</v>
      </c>
      <c r="B72" s="8" t="n">
        <f aca="false">IF(A72&lt;Assumptions!$B$4,Assumptions!$B$3,Assumptions!$B$5)</f>
        <v>4500</v>
      </c>
      <c r="C72" s="8" t="n">
        <v>0</v>
      </c>
      <c r="D72" s="8" t="n">
        <f aca="false">IF(A72=Assumptions!$B$14,Assumptions!$B$13,IF(AND(A72&gt;Assumptions!$B$14,N(I71)&gt;0.5),Assumptions!$B$18,0))</f>
        <v>3062.26917357728</v>
      </c>
      <c r="E72" s="8" t="n">
        <f aca="false">IF(A72=Assumptions!$B$14,Assumptions!$B$10,IF(A72&gt;Assumptions!$B$14,D72-J72,0))</f>
        <v>1841.42611926942</v>
      </c>
      <c r="F72" s="8" t="n">
        <f aca="false">IF(A72=Assumptions!$B$25,Assumptions!$B$24,0)+IF(L72&gt;0,PMT(Assumptions!$B$26/12,(Assumptions!$B$27*12+1-((YEAR(A72)-YEAR(Assumptions!$B$33))*12+MONTH(A72)-MONTH(Assumptions!$B$33))),-L72),0)</f>
        <v>5413.84818630807</v>
      </c>
      <c r="G72" s="8" t="n">
        <f aca="false">IF(A72=Assumptions!$B$25,Assumptions!$B$23,0)+IF(L72&gt;0,PMT(Assumptions!$B$26/12,(Assumptions!$B$27*12+1-((YEAR(A72)-YEAR(Assumptions!$B$33))*12+MONTH(A72)-MONTH(Assumptions!$B$33))),-L72),0)-M72</f>
        <v>3745.07044319294</v>
      </c>
      <c r="H72" s="9" t="str">
        <f aca="false">IF(A72=Assumptions!$B$25,"Condo: OTP + S&amp;P + 25% equity paid",IF(A72=Assumptions!$B$14,"HDB: completion, downpayment paid",IFERROR("Condo: "&amp;INDEX(Assumptions!$A$33:$A$40,MATCH(A72,Assumptions!$B$33:$B$40,0)),"")))</f>
        <v/>
      </c>
      <c r="I72" s="10" t="n">
        <f aca="false">IF(A72=Assumptions!$B$14,Assumptions!$B$17,IF(A72&gt;Assumptions!$B$14,N(I71)-E72,0))</f>
        <v>561624.598945899</v>
      </c>
      <c r="J72" s="10" t="n">
        <f aca="false">IF(A72&gt;Assumptions!$B$14,N(I71)*Assumptions!$B$15/12,0)</f>
        <v>1220.84305430786</v>
      </c>
      <c r="K72" s="10" t="n">
        <f aca="false">SUMIFS(Assumptions!$D$33:$D$40,Assumptions!$B$33:$B$40,A72)</f>
        <v>0</v>
      </c>
      <c r="L72" s="10" t="n">
        <f aca="false">N(N71)</f>
        <v>1335022.19449211</v>
      </c>
      <c r="M72" s="10" t="n">
        <f aca="false">L72*Assumptions!$B$26/12</f>
        <v>1668.77774311513</v>
      </c>
      <c r="N72" s="10" t="n">
        <f aca="false">L72+K72-(IF(L72&gt;0,PMT(Assumptions!$B$26/12,(Assumptions!$B$27*12+1-((YEAR(A72)-YEAR(Assumptions!$B$33))*12+MONTH(A72)-MONTH(Assumptions!$B$33))),-L72),0)-M72)</f>
        <v>1331277.12404891</v>
      </c>
    </row>
    <row r="73" customFormat="false" ht="15.75" hidden="false" customHeight="false" outlineLevel="0" collapsed="false">
      <c r="A73" s="6" t="n">
        <v>48427</v>
      </c>
      <c r="B73" s="8" t="n">
        <f aca="false">IF(A73&lt;Assumptions!$B$4,Assumptions!$B$3,Assumptions!$B$5)</f>
        <v>4500</v>
      </c>
      <c r="C73" s="8" t="n">
        <v>0</v>
      </c>
      <c r="D73" s="8" t="n">
        <f aca="false">IF(A73=Assumptions!$B$14,Assumptions!$B$13,IF(AND(A73&gt;Assumptions!$B$14,N(I72)&gt;0.5),Assumptions!$B$18,0))</f>
        <v>3062.26917357728</v>
      </c>
      <c r="E73" s="8" t="n">
        <f aca="false">IF(A73=Assumptions!$B$14,Assumptions!$B$10,IF(A73&gt;Assumptions!$B$14,D73-J73,0))</f>
        <v>1845.41587586117</v>
      </c>
      <c r="F73" s="8" t="n">
        <f aca="false">IF(A73=Assumptions!$B$25,Assumptions!$B$24,0)+IF(L73&gt;0,PMT(Assumptions!$B$26/12,(Assumptions!$B$27*12+1-((YEAR(A73)-YEAR(Assumptions!$B$33))*12+MONTH(A73)-MONTH(Assumptions!$B$33))),-L73),0)</f>
        <v>5413.84818630807</v>
      </c>
      <c r="G73" s="8" t="n">
        <f aca="false">IF(A73=Assumptions!$B$25,Assumptions!$B$23,0)+IF(L73&gt;0,PMT(Assumptions!$B$26/12,(Assumptions!$B$27*12+1-((YEAR(A73)-YEAR(Assumptions!$B$33))*12+MONTH(A73)-MONTH(Assumptions!$B$33))),-L73),0)-M73</f>
        <v>3749.75178124693</v>
      </c>
      <c r="H73" s="9" t="str">
        <f aca="false">IF(A73=Assumptions!$B$25,"Condo: OTP + S&amp;P + 25% equity paid",IF(A73=Assumptions!$B$14,"HDB: completion, downpayment paid",IFERROR("Condo: "&amp;INDEX(Assumptions!$A$33:$A$40,MATCH(A73,Assumptions!$B$33:$B$40,0)),"")))</f>
        <v/>
      </c>
      <c r="I73" s="10" t="n">
        <f aca="false">IF(A73=Assumptions!$B$14,Assumptions!$B$17,IF(A73&gt;Assumptions!$B$14,N(I72)-E73,0))</f>
        <v>559779.183070037</v>
      </c>
      <c r="J73" s="10" t="n">
        <f aca="false">IF(A73&gt;Assumptions!$B$14,N(I72)*Assumptions!$B$15/12,0)</f>
        <v>1216.85329771611</v>
      </c>
      <c r="K73" s="10" t="n">
        <f aca="false">SUMIFS(Assumptions!$D$33:$D$40,Assumptions!$B$33:$B$40,A73)</f>
        <v>0</v>
      </c>
      <c r="L73" s="10" t="n">
        <f aca="false">N(N72)</f>
        <v>1331277.12404891</v>
      </c>
      <c r="M73" s="10" t="n">
        <f aca="false">L73*Assumptions!$B$26/12</f>
        <v>1664.09640506114</v>
      </c>
      <c r="N73" s="10" t="n">
        <f aca="false">L73+K73-(IF(L73&gt;0,PMT(Assumptions!$B$26/12,(Assumptions!$B$27*12+1-((YEAR(A73)-YEAR(Assumptions!$B$33))*12+MONTH(A73)-MONTH(Assumptions!$B$33))),-L73),0)-M73)</f>
        <v>1327527.37226767</v>
      </c>
    </row>
    <row r="74" customFormat="false" ht="15.75" hidden="false" customHeight="false" outlineLevel="0" collapsed="false">
      <c r="A74" s="6" t="n">
        <v>48458</v>
      </c>
      <c r="B74" s="8" t="n">
        <f aca="false">IF(A74&lt;Assumptions!$B$4,Assumptions!$B$3,Assumptions!$B$5)</f>
        <v>4500</v>
      </c>
      <c r="C74" s="8" t="n">
        <v>0</v>
      </c>
      <c r="D74" s="8" t="n">
        <f aca="false">IF(A74=Assumptions!$B$14,Assumptions!$B$13,IF(AND(A74&gt;Assumptions!$B$14,N(I73)&gt;0.5),Assumptions!$B$18,0))</f>
        <v>3062.26917357728</v>
      </c>
      <c r="E74" s="8" t="n">
        <f aca="false">IF(A74=Assumptions!$B$14,Assumptions!$B$10,IF(A74&gt;Assumptions!$B$14,D74-J74,0))</f>
        <v>1849.41427692553</v>
      </c>
      <c r="F74" s="8" t="n">
        <f aca="false">IF(A74=Assumptions!$B$25,Assumptions!$B$24,0)+IF(L74&gt;0,PMT(Assumptions!$B$26/12,(Assumptions!$B$27*12+1-((YEAR(A74)-YEAR(Assumptions!$B$33))*12+MONTH(A74)-MONTH(Assumptions!$B$33))),-L74),0)</f>
        <v>5413.84818630807</v>
      </c>
      <c r="G74" s="8" t="n">
        <f aca="false">IF(A74=Assumptions!$B$25,Assumptions!$B$23,0)+IF(L74&gt;0,PMT(Assumptions!$B$26/12,(Assumptions!$B$27*12+1-((YEAR(A74)-YEAR(Assumptions!$B$33))*12+MONTH(A74)-MONTH(Assumptions!$B$33))),-L74),0)-M74</f>
        <v>3754.43897097349</v>
      </c>
      <c r="H74" s="9" t="str">
        <f aca="false">IF(A74=Assumptions!$B$25,"Condo: OTP + S&amp;P + 25% equity paid",IF(A74=Assumptions!$B$14,"HDB: completion, downpayment paid",IFERROR("Condo: "&amp;INDEX(Assumptions!$A$33:$A$40,MATCH(A74,Assumptions!$B$33:$B$40,0)),"")))</f>
        <v/>
      </c>
      <c r="I74" s="10" t="n">
        <f aca="false">IF(A74=Assumptions!$B$14,Assumptions!$B$17,IF(A74&gt;Assumptions!$B$14,N(I73)-E74,0))</f>
        <v>557929.768793112</v>
      </c>
      <c r="J74" s="10" t="n">
        <f aca="false">IF(A74&gt;Assumptions!$B$14,N(I73)*Assumptions!$B$15/12,0)</f>
        <v>1212.85489665175</v>
      </c>
      <c r="K74" s="10" t="n">
        <f aca="false">SUMIFS(Assumptions!$D$33:$D$40,Assumptions!$B$33:$B$40,A74)</f>
        <v>0</v>
      </c>
      <c r="L74" s="10" t="n">
        <f aca="false">N(N73)</f>
        <v>1327527.37226767</v>
      </c>
      <c r="M74" s="10" t="n">
        <f aca="false">L74*Assumptions!$B$26/12</f>
        <v>1659.40921533458</v>
      </c>
      <c r="N74" s="10" t="n">
        <f aca="false">L74+K74-(IF(L74&gt;0,PMT(Assumptions!$B$26/12,(Assumptions!$B$27*12+1-((YEAR(A74)-YEAR(Assumptions!$B$33))*12+MONTH(A74)-MONTH(Assumptions!$B$33))),-L74),0)-M74)</f>
        <v>1323772.93329669</v>
      </c>
    </row>
    <row r="75" customFormat="false" ht="15.75" hidden="false" customHeight="false" outlineLevel="0" collapsed="false">
      <c r="A75" s="6" t="n">
        <v>48488</v>
      </c>
      <c r="B75" s="8" t="n">
        <f aca="false">IF(A75&lt;Assumptions!$B$4,Assumptions!$B$3,Assumptions!$B$5)</f>
        <v>4500</v>
      </c>
      <c r="C75" s="8" t="n">
        <v>0</v>
      </c>
      <c r="D75" s="8" t="n">
        <f aca="false">IF(A75=Assumptions!$B$14,Assumptions!$B$13,IF(AND(A75&gt;Assumptions!$B$14,N(I74)&gt;0.5),Assumptions!$B$18,0))</f>
        <v>3062.26917357728</v>
      </c>
      <c r="E75" s="8" t="n">
        <f aca="false">IF(A75=Assumptions!$B$14,Assumptions!$B$10,IF(A75&gt;Assumptions!$B$14,D75-J75,0))</f>
        <v>1853.42134119221</v>
      </c>
      <c r="F75" s="8" t="n">
        <f aca="false">IF(A75=Assumptions!$B$25,Assumptions!$B$24,0)+IF(L75&gt;0,PMT(Assumptions!$B$26/12,(Assumptions!$B$27*12+1-((YEAR(A75)-YEAR(Assumptions!$B$33))*12+MONTH(A75)-MONTH(Assumptions!$B$33))),-L75),0)</f>
        <v>5413.84818630807</v>
      </c>
      <c r="G75" s="8" t="n">
        <f aca="false">IF(A75=Assumptions!$B$25,Assumptions!$B$23,0)+IF(L75&gt;0,PMT(Assumptions!$B$26/12,(Assumptions!$B$27*12+1-((YEAR(A75)-YEAR(Assumptions!$B$33))*12+MONTH(A75)-MONTH(Assumptions!$B$33))),-L75),0)-M75</f>
        <v>3759.13201968721</v>
      </c>
      <c r="H75" s="9" t="str">
        <f aca="false">IF(A75=Assumptions!$B$25,"Condo: OTP + S&amp;P + 25% equity paid",IF(A75=Assumptions!$B$14,"HDB: completion, downpayment paid",IFERROR("Condo: "&amp;INDEX(Assumptions!$A$33:$A$40,MATCH(A75,Assumptions!$B$33:$B$40,0)),"")))</f>
        <v/>
      </c>
      <c r="I75" s="10" t="n">
        <f aca="false">IF(A75=Assumptions!$B$14,Assumptions!$B$17,IF(A75&gt;Assumptions!$B$14,N(I74)-E75,0))</f>
        <v>556076.34745192</v>
      </c>
      <c r="J75" s="10" t="n">
        <f aca="false">IF(A75&gt;Assumptions!$B$14,N(I74)*Assumptions!$B$15/12,0)</f>
        <v>1208.84783238508</v>
      </c>
      <c r="K75" s="10" t="n">
        <f aca="false">SUMIFS(Assumptions!$D$33:$D$40,Assumptions!$B$33:$B$40,A75)</f>
        <v>0</v>
      </c>
      <c r="L75" s="10" t="n">
        <f aca="false">N(N74)</f>
        <v>1323772.93329669</v>
      </c>
      <c r="M75" s="10" t="n">
        <f aca="false">L75*Assumptions!$B$26/12</f>
        <v>1654.71616662087</v>
      </c>
      <c r="N75" s="10" t="n">
        <f aca="false">L75+K75-(IF(L75&gt;0,PMT(Assumptions!$B$26/12,(Assumptions!$B$27*12+1-((YEAR(A75)-YEAR(Assumptions!$B$33))*12+MONTH(A75)-MONTH(Assumptions!$B$33))),-L75),0)-M75)</f>
        <v>1320013.801277</v>
      </c>
    </row>
    <row r="76" customFormat="false" ht="15.75" hidden="false" customHeight="false" outlineLevel="0" collapsed="false">
      <c r="A76" s="6" t="n">
        <v>48519</v>
      </c>
      <c r="B76" s="8" t="n">
        <f aca="false">IF(A76&lt;Assumptions!$B$4,Assumptions!$B$3,Assumptions!$B$5)</f>
        <v>4500</v>
      </c>
      <c r="C76" s="8" t="n">
        <v>0</v>
      </c>
      <c r="D76" s="8" t="n">
        <f aca="false">IF(A76=Assumptions!$B$14,Assumptions!$B$13,IF(AND(A76&gt;Assumptions!$B$14,N(I75)&gt;0.5),Assumptions!$B$18,0))</f>
        <v>3062.26917357728</v>
      </c>
      <c r="E76" s="8" t="n">
        <f aca="false">IF(A76=Assumptions!$B$14,Assumptions!$B$10,IF(A76&gt;Assumptions!$B$14,D76-J76,0))</f>
        <v>1857.43708743146</v>
      </c>
      <c r="F76" s="8" t="n">
        <f aca="false">IF(A76=Assumptions!$B$25,Assumptions!$B$24,0)+IF(L76&gt;0,PMT(Assumptions!$B$26/12,(Assumptions!$B$27*12+1-((YEAR(A76)-YEAR(Assumptions!$B$33))*12+MONTH(A76)-MONTH(Assumptions!$B$33))),-L76),0)</f>
        <v>5413.84818630807</v>
      </c>
      <c r="G76" s="8" t="n">
        <f aca="false">IF(A76=Assumptions!$B$25,Assumptions!$B$23,0)+IF(L76&gt;0,PMT(Assumptions!$B$26/12,(Assumptions!$B$27*12+1-((YEAR(A76)-YEAR(Assumptions!$B$33))*12+MONTH(A76)-MONTH(Assumptions!$B$33))),-L76),0)-M76</f>
        <v>3763.83093471181</v>
      </c>
      <c r="H76" s="9" t="str">
        <f aca="false">IF(A76=Assumptions!$B$25,"Condo: OTP + S&amp;P + 25% equity paid",IF(A76=Assumptions!$B$14,"HDB: completion, downpayment paid",IFERROR("Condo: "&amp;INDEX(Assumptions!$A$33:$A$40,MATCH(A76,Assumptions!$B$33:$B$40,0)),"")))</f>
        <v/>
      </c>
      <c r="I76" s="10" t="n">
        <f aca="false">IF(A76=Assumptions!$B$14,Assumptions!$B$17,IF(A76&gt;Assumptions!$B$14,N(I75)-E76,0))</f>
        <v>554218.910364488</v>
      </c>
      <c r="J76" s="10" t="n">
        <f aca="false">IF(A76&gt;Assumptions!$B$14,N(I75)*Assumptions!$B$15/12,0)</f>
        <v>1204.83208614583</v>
      </c>
      <c r="K76" s="10" t="n">
        <f aca="false">SUMIFS(Assumptions!$D$33:$D$40,Assumptions!$B$33:$B$40,A76)</f>
        <v>0</v>
      </c>
      <c r="L76" s="10" t="n">
        <f aca="false">N(N75)</f>
        <v>1320013.801277</v>
      </c>
      <c r="M76" s="10" t="n">
        <f aca="false">L76*Assumptions!$B$26/12</f>
        <v>1650.01725159626</v>
      </c>
      <c r="N76" s="10" t="n">
        <f aca="false">L76+K76-(IF(L76&gt;0,PMT(Assumptions!$B$26/12,(Assumptions!$B$27*12+1-((YEAR(A76)-YEAR(Assumptions!$B$33))*12+MONTH(A76)-MONTH(Assumptions!$B$33))),-L76),0)-M76)</f>
        <v>1316249.97034229</v>
      </c>
    </row>
    <row r="77" customFormat="false" ht="15.75" hidden="false" customHeight="false" outlineLevel="0" collapsed="false">
      <c r="A77" s="6" t="n">
        <v>48549</v>
      </c>
      <c r="B77" s="8" t="n">
        <f aca="false">IF(A77&lt;Assumptions!$B$4,Assumptions!$B$3,Assumptions!$B$5)</f>
        <v>4500</v>
      </c>
      <c r="C77" s="8" t="n">
        <v>0</v>
      </c>
      <c r="D77" s="8" t="n">
        <f aca="false">IF(A77=Assumptions!$B$14,Assumptions!$B$13,IF(AND(A77&gt;Assumptions!$B$14,N(I76)&gt;0.5),Assumptions!$B$18,0))</f>
        <v>3062.26917357728</v>
      </c>
      <c r="E77" s="8" t="n">
        <f aca="false">IF(A77=Assumptions!$B$14,Assumptions!$B$10,IF(A77&gt;Assumptions!$B$14,D77-J77,0))</f>
        <v>1861.46153445422</v>
      </c>
      <c r="F77" s="8" t="n">
        <f aca="false">IF(A77=Assumptions!$B$25,Assumptions!$B$24,0)+IF(L77&gt;0,PMT(Assumptions!$B$26/12,(Assumptions!$B$27*12+1-((YEAR(A77)-YEAR(Assumptions!$B$33))*12+MONTH(A77)-MONTH(Assumptions!$B$33))),-L77),0)</f>
        <v>5413.84818630807</v>
      </c>
      <c r="G77" s="8" t="n">
        <f aca="false">IF(A77=Assumptions!$B$25,Assumptions!$B$23,0)+IF(L77&gt;0,PMT(Assumptions!$B$26/12,(Assumptions!$B$27*12+1-((YEAR(A77)-YEAR(Assumptions!$B$33))*12+MONTH(A77)-MONTH(Assumptions!$B$33))),-L77),0)-M77</f>
        <v>3768.53572338021</v>
      </c>
      <c r="H77" s="9" t="str">
        <f aca="false">IF(A77=Assumptions!$B$25,"Condo: OTP + S&amp;P + 25% equity paid",IF(A77=Assumptions!$B$14,"HDB: completion, downpayment paid",IFERROR("Condo: "&amp;INDEX(Assumptions!$A$33:$A$40,MATCH(A77,Assumptions!$B$33:$B$40,0)),"")))</f>
        <v/>
      </c>
      <c r="I77" s="10" t="n">
        <f aca="false">IF(A77=Assumptions!$B$14,Assumptions!$B$17,IF(A77&gt;Assumptions!$B$14,N(I76)-E77,0))</f>
        <v>552357.448830034</v>
      </c>
      <c r="J77" s="10" t="n">
        <f aca="false">IF(A77&gt;Assumptions!$B$14,N(I76)*Assumptions!$B$15/12,0)</f>
        <v>1200.80763912306</v>
      </c>
      <c r="K77" s="10" t="n">
        <f aca="false">SUMIFS(Assumptions!$D$33:$D$40,Assumptions!$B$33:$B$40,A77)</f>
        <v>0</v>
      </c>
      <c r="L77" s="10" t="n">
        <f aca="false">N(N76)</f>
        <v>1316249.97034229</v>
      </c>
      <c r="M77" s="10" t="n">
        <f aca="false">L77*Assumptions!$B$26/12</f>
        <v>1645.31246292787</v>
      </c>
      <c r="N77" s="10" t="n">
        <f aca="false">L77+K77-(IF(L77&gt;0,PMT(Assumptions!$B$26/12,(Assumptions!$B$27*12+1-((YEAR(A77)-YEAR(Assumptions!$B$33))*12+MONTH(A77)-MONTH(Assumptions!$B$33))),-L77),0)-M77)</f>
        <v>1312481.43461891</v>
      </c>
    </row>
    <row r="78" customFormat="false" ht="15.75" hidden="false" customHeight="false" outlineLevel="0" collapsed="false">
      <c r="A78" s="6" t="n">
        <v>48580</v>
      </c>
      <c r="B78" s="8" t="n">
        <f aca="false">IF(A78&lt;Assumptions!$B$4,Assumptions!$B$3,Assumptions!$B$5)</f>
        <v>4500</v>
      </c>
      <c r="C78" s="8" t="n">
        <v>0</v>
      </c>
      <c r="D78" s="8" t="n">
        <f aca="false">IF(A78=Assumptions!$B$14,Assumptions!$B$13,IF(AND(A78&gt;Assumptions!$B$14,N(I77)&gt;0.5),Assumptions!$B$18,0))</f>
        <v>3062.26917357728</v>
      </c>
      <c r="E78" s="8" t="n">
        <f aca="false">IF(A78=Assumptions!$B$14,Assumptions!$B$10,IF(A78&gt;Assumptions!$B$14,D78-J78,0))</f>
        <v>1865.49470111221</v>
      </c>
      <c r="F78" s="8" t="n">
        <f aca="false">IF(A78=Assumptions!$B$25,Assumptions!$B$24,0)+IF(L78&gt;0,PMT(Assumptions!$B$26/12,(Assumptions!$B$27*12+1-((YEAR(A78)-YEAR(Assumptions!$B$33))*12+MONTH(A78)-MONTH(Assumptions!$B$33))),-L78),0)</f>
        <v>5413.84818630807</v>
      </c>
      <c r="G78" s="8" t="n">
        <f aca="false">IF(A78=Assumptions!$B$25,Assumptions!$B$23,0)+IF(L78&gt;0,PMT(Assumptions!$B$26/12,(Assumptions!$B$27*12+1-((YEAR(A78)-YEAR(Assumptions!$B$33))*12+MONTH(A78)-MONTH(Assumptions!$B$33))),-L78),0)-M78</f>
        <v>3773.24639303443</v>
      </c>
      <c r="H78" s="9" t="str">
        <f aca="false">IF(A78=Assumptions!$B$25,"Condo: OTP + S&amp;P + 25% equity paid",IF(A78=Assumptions!$B$14,"HDB: completion, downpayment paid",IFERROR("Condo: "&amp;INDEX(Assumptions!$A$33:$A$40,MATCH(A78,Assumptions!$B$33:$B$40,0)),"")))</f>
        <v/>
      </c>
      <c r="I78" s="10" t="n">
        <f aca="false">IF(A78=Assumptions!$B$14,Assumptions!$B$17,IF(A78&gt;Assumptions!$B$14,N(I77)-E78,0))</f>
        <v>550491.954128922</v>
      </c>
      <c r="J78" s="10" t="n">
        <f aca="false">IF(A78&gt;Assumptions!$B$14,N(I77)*Assumptions!$B$15/12,0)</f>
        <v>1196.77447246507</v>
      </c>
      <c r="K78" s="10" t="n">
        <f aca="false">SUMIFS(Assumptions!$D$33:$D$40,Assumptions!$B$33:$B$40,A78)</f>
        <v>0</v>
      </c>
      <c r="L78" s="10" t="n">
        <f aca="false">N(N77)</f>
        <v>1312481.43461891</v>
      </c>
      <c r="M78" s="10" t="n">
        <f aca="false">L78*Assumptions!$B$26/12</f>
        <v>1640.60179327364</v>
      </c>
      <c r="N78" s="10" t="n">
        <f aca="false">L78+K78-(IF(L78&gt;0,PMT(Assumptions!$B$26/12,(Assumptions!$B$27*12+1-((YEAR(A78)-YEAR(Assumptions!$B$33))*12+MONTH(A78)-MONTH(Assumptions!$B$33))),-L78),0)-M78)</f>
        <v>1308708.18822588</v>
      </c>
    </row>
    <row r="79" customFormat="false" ht="15.75" hidden="false" customHeight="false" outlineLevel="0" collapsed="false">
      <c r="A79" s="6" t="n">
        <v>48611</v>
      </c>
      <c r="B79" s="8" t="n">
        <f aca="false">IF(A79&lt;Assumptions!$B$4,Assumptions!$B$3,Assumptions!$B$5)</f>
        <v>4500</v>
      </c>
      <c r="C79" s="8" t="n">
        <v>0</v>
      </c>
      <c r="D79" s="8" t="n">
        <f aca="false">IF(A79=Assumptions!$B$14,Assumptions!$B$13,IF(AND(A79&gt;Assumptions!$B$14,N(I78)&gt;0.5),Assumptions!$B$18,0))</f>
        <v>3062.26917357728</v>
      </c>
      <c r="E79" s="8" t="n">
        <f aca="false">IF(A79=Assumptions!$B$14,Assumptions!$B$10,IF(A79&gt;Assumptions!$B$14,D79-J79,0))</f>
        <v>1869.53660629795</v>
      </c>
      <c r="F79" s="8" t="n">
        <f aca="false">IF(A79=Assumptions!$B$25,Assumptions!$B$24,0)+IF(L79&gt;0,PMT(Assumptions!$B$26/12,(Assumptions!$B$27*12+1-((YEAR(A79)-YEAR(Assumptions!$B$33))*12+MONTH(A79)-MONTH(Assumptions!$B$33))),-L79),0)</f>
        <v>5413.84818630807</v>
      </c>
      <c r="G79" s="8" t="n">
        <f aca="false">IF(A79=Assumptions!$B$25,Assumptions!$B$23,0)+IF(L79&gt;0,PMT(Assumptions!$B$26/12,(Assumptions!$B$27*12+1-((YEAR(A79)-YEAR(Assumptions!$B$33))*12+MONTH(A79)-MONTH(Assumptions!$B$33))),-L79),0)-M79</f>
        <v>3777.96295102572</v>
      </c>
      <c r="H79" s="9" t="str">
        <f aca="false">IF(A79=Assumptions!$B$25,"Condo: OTP + S&amp;P + 25% equity paid",IF(A79=Assumptions!$B$14,"HDB: completion, downpayment paid",IFERROR("Condo: "&amp;INDEX(Assumptions!$A$33:$A$40,MATCH(A79,Assumptions!$B$33:$B$40,0)),"")))</f>
        <v/>
      </c>
      <c r="I79" s="10" t="n">
        <f aca="false">IF(A79=Assumptions!$B$14,Assumptions!$B$17,IF(A79&gt;Assumptions!$B$14,N(I78)-E79,0))</f>
        <v>548622.417522624</v>
      </c>
      <c r="J79" s="10" t="n">
        <f aca="false">IF(A79&gt;Assumptions!$B$14,N(I78)*Assumptions!$B$15/12,0)</f>
        <v>1192.73256727933</v>
      </c>
      <c r="K79" s="10" t="n">
        <f aca="false">SUMIFS(Assumptions!$D$33:$D$40,Assumptions!$B$33:$B$40,A79)</f>
        <v>0</v>
      </c>
      <c r="L79" s="10" t="n">
        <f aca="false">N(N78)</f>
        <v>1308708.18822588</v>
      </c>
      <c r="M79" s="10" t="n">
        <f aca="false">L79*Assumptions!$B$26/12</f>
        <v>1635.88523528235</v>
      </c>
      <c r="N79" s="10" t="n">
        <f aca="false">L79+K79-(IF(L79&gt;0,PMT(Assumptions!$B$26/12,(Assumptions!$B$27*12+1-((YEAR(A79)-YEAR(Assumptions!$B$33))*12+MONTH(A79)-MONTH(Assumptions!$B$33))),-L79),0)-M79)</f>
        <v>1304930.22527485</v>
      </c>
    </row>
    <row r="80" customFormat="false" ht="15.75" hidden="false" customHeight="false" outlineLevel="0" collapsed="false">
      <c r="A80" s="6" t="n">
        <v>48639</v>
      </c>
      <c r="B80" s="8" t="n">
        <f aca="false">IF(A80&lt;Assumptions!$B$4,Assumptions!$B$3,Assumptions!$B$5)</f>
        <v>4500</v>
      </c>
      <c r="C80" s="8" t="n">
        <v>0</v>
      </c>
      <c r="D80" s="8" t="n">
        <f aca="false">IF(A80=Assumptions!$B$14,Assumptions!$B$13,IF(AND(A80&gt;Assumptions!$B$14,N(I79)&gt;0.5),Assumptions!$B$18,0))</f>
        <v>3062.26917357728</v>
      </c>
      <c r="E80" s="8" t="n">
        <f aca="false">IF(A80=Assumptions!$B$14,Assumptions!$B$10,IF(A80&gt;Assumptions!$B$14,D80-J80,0))</f>
        <v>1873.58726894493</v>
      </c>
      <c r="F80" s="8" t="n">
        <f aca="false">IF(A80=Assumptions!$B$25,Assumptions!$B$24,0)+IF(L80&gt;0,PMT(Assumptions!$B$26/12,(Assumptions!$B$27*12+1-((YEAR(A80)-YEAR(Assumptions!$B$33))*12+MONTH(A80)-MONTH(Assumptions!$B$33))),-L80),0)</f>
        <v>5413.84818630807</v>
      </c>
      <c r="G80" s="8" t="n">
        <f aca="false">IF(A80=Assumptions!$B$25,Assumptions!$B$23,0)+IF(L80&gt;0,PMT(Assumptions!$B$26/12,(Assumptions!$B$27*12+1-((YEAR(A80)-YEAR(Assumptions!$B$33))*12+MONTH(A80)-MONTH(Assumptions!$B$33))),-L80),0)-M80</f>
        <v>3782.68540471451</v>
      </c>
      <c r="H80" s="9" t="str">
        <f aca="false">IF(A80=Assumptions!$B$25,"Condo: OTP + S&amp;P + 25% equity paid",IF(A80=Assumptions!$B$14,"HDB: completion, downpayment paid",IFERROR("Condo: "&amp;INDEX(Assumptions!$A$33:$A$40,MATCH(A80,Assumptions!$B$33:$B$40,0)),"")))</f>
        <v/>
      </c>
      <c r="I80" s="10" t="n">
        <f aca="false">IF(A80=Assumptions!$B$14,Assumptions!$B$17,IF(A80&gt;Assumptions!$B$14,N(I79)-E80,0))</f>
        <v>546748.830253679</v>
      </c>
      <c r="J80" s="10" t="n">
        <f aca="false">IF(A80&gt;Assumptions!$B$14,N(I79)*Assumptions!$B$15/12,0)</f>
        <v>1188.68190463235</v>
      </c>
      <c r="K80" s="10" t="n">
        <f aca="false">SUMIFS(Assumptions!$D$33:$D$40,Assumptions!$B$33:$B$40,A80)</f>
        <v>0</v>
      </c>
      <c r="L80" s="10" t="n">
        <f aca="false">N(N79)</f>
        <v>1304930.22527485</v>
      </c>
      <c r="M80" s="10" t="n">
        <f aca="false">L80*Assumptions!$B$26/12</f>
        <v>1631.16278159357</v>
      </c>
      <c r="N80" s="10" t="n">
        <f aca="false">L80+K80-(IF(L80&gt;0,PMT(Assumptions!$B$26/12,(Assumptions!$B$27*12+1-((YEAR(A80)-YEAR(Assumptions!$B$33))*12+MONTH(A80)-MONTH(Assumptions!$B$33))),-L80),0)-M80)</f>
        <v>1301147.53987014</v>
      </c>
    </row>
    <row r="81" customFormat="false" ht="15.75" hidden="false" customHeight="false" outlineLevel="0" collapsed="false">
      <c r="A81" s="6" t="n">
        <v>48670</v>
      </c>
      <c r="B81" s="8" t="n">
        <f aca="false">IF(A81&lt;Assumptions!$B$4,Assumptions!$B$3,Assumptions!$B$5)</f>
        <v>4500</v>
      </c>
      <c r="C81" s="8" t="n">
        <v>0</v>
      </c>
      <c r="D81" s="8" t="n">
        <f aca="false">IF(A81=Assumptions!$B$14,Assumptions!$B$13,IF(AND(A81&gt;Assumptions!$B$14,N(I80)&gt;0.5),Assumptions!$B$18,0))</f>
        <v>3062.26917357728</v>
      </c>
      <c r="E81" s="8" t="n">
        <f aca="false">IF(A81=Assumptions!$B$14,Assumptions!$B$10,IF(A81&gt;Assumptions!$B$14,D81-J81,0))</f>
        <v>1877.64670802764</v>
      </c>
      <c r="F81" s="8" t="n">
        <f aca="false">IF(A81=Assumptions!$B$25,Assumptions!$B$24,0)+IF(L81&gt;0,PMT(Assumptions!$B$26/12,(Assumptions!$B$27*12+1-((YEAR(A81)-YEAR(Assumptions!$B$33))*12+MONTH(A81)-MONTH(Assumptions!$B$33))),-L81),0)</f>
        <v>5413.84818630807</v>
      </c>
      <c r="G81" s="8" t="n">
        <f aca="false">IF(A81=Assumptions!$B$25,Assumptions!$B$23,0)+IF(L81&gt;0,PMT(Assumptions!$B$26/12,(Assumptions!$B$27*12+1-((YEAR(A81)-YEAR(Assumptions!$B$33))*12+MONTH(A81)-MONTH(Assumptions!$B$33))),-L81),0)-M81</f>
        <v>3787.4137614704</v>
      </c>
      <c r="H81" s="9" t="str">
        <f aca="false">IF(A81=Assumptions!$B$25,"Condo: OTP + S&amp;P + 25% equity paid",IF(A81=Assumptions!$B$14,"HDB: completion, downpayment paid",IFERROR("Condo: "&amp;INDEX(Assumptions!$A$33:$A$40,MATCH(A81,Assumptions!$B$33:$B$40,0)),"")))</f>
        <v/>
      </c>
      <c r="I81" s="10" t="n">
        <f aca="false">IF(A81=Assumptions!$B$14,Assumptions!$B$17,IF(A81&gt;Assumptions!$B$14,N(I80)-E81,0))</f>
        <v>544871.183545651</v>
      </c>
      <c r="J81" s="10" t="n">
        <f aca="false">IF(A81&gt;Assumptions!$B$14,N(I80)*Assumptions!$B$15/12,0)</f>
        <v>1184.62246554964</v>
      </c>
      <c r="K81" s="10" t="n">
        <f aca="false">SUMIFS(Assumptions!$D$33:$D$40,Assumptions!$B$33:$B$40,A81)</f>
        <v>0</v>
      </c>
      <c r="L81" s="10" t="n">
        <f aca="false">N(N80)</f>
        <v>1301147.53987014</v>
      </c>
      <c r="M81" s="10" t="n">
        <f aca="false">L81*Assumptions!$B$26/12</f>
        <v>1626.43442483767</v>
      </c>
      <c r="N81" s="10" t="n">
        <f aca="false">L81+K81-(IF(L81&gt;0,PMT(Assumptions!$B$26/12,(Assumptions!$B$27*12+1-((YEAR(A81)-YEAR(Assumptions!$B$33))*12+MONTH(A81)-MONTH(Assumptions!$B$33))),-L81),0)-M81)</f>
        <v>1297360.12610867</v>
      </c>
    </row>
    <row r="82" customFormat="false" ht="15.75" hidden="false" customHeight="false" outlineLevel="0" collapsed="false">
      <c r="A82" s="6" t="n">
        <v>48700</v>
      </c>
      <c r="B82" s="8" t="n">
        <f aca="false">IF(A82&lt;Assumptions!$B$4,Assumptions!$B$3,Assumptions!$B$5)</f>
        <v>4500</v>
      </c>
      <c r="C82" s="8" t="n">
        <v>0</v>
      </c>
      <c r="D82" s="8" t="n">
        <f aca="false">IF(A82=Assumptions!$B$14,Assumptions!$B$13,IF(AND(A82&gt;Assumptions!$B$14,N(I81)&gt;0.5),Assumptions!$B$18,0))</f>
        <v>3062.26917357728</v>
      </c>
      <c r="E82" s="8" t="n">
        <f aca="false">IF(A82=Assumptions!$B$14,Assumptions!$B$10,IF(A82&gt;Assumptions!$B$14,D82-J82,0))</f>
        <v>1881.7149425617</v>
      </c>
      <c r="F82" s="8" t="n">
        <f aca="false">IF(A82=Assumptions!$B$25,Assumptions!$B$24,0)+IF(L82&gt;0,PMT(Assumptions!$B$26/12,(Assumptions!$B$27*12+1-((YEAR(A82)-YEAR(Assumptions!$B$33))*12+MONTH(A82)-MONTH(Assumptions!$B$33))),-L82),0)</f>
        <v>5413.84818630807</v>
      </c>
      <c r="G82" s="8" t="n">
        <f aca="false">IF(A82=Assumptions!$B$25,Assumptions!$B$23,0)+IF(L82&gt;0,PMT(Assumptions!$B$26/12,(Assumptions!$B$27*12+1-((YEAR(A82)-YEAR(Assumptions!$B$33))*12+MONTH(A82)-MONTH(Assumptions!$B$33))),-L82),0)-M82</f>
        <v>3792.14802867224</v>
      </c>
      <c r="H82" s="9" t="str">
        <f aca="false">IF(A82=Assumptions!$B$25,"Condo: OTP + S&amp;P + 25% equity paid",IF(A82=Assumptions!$B$14,"HDB: completion, downpayment paid",IFERROR("Condo: "&amp;INDEX(Assumptions!$A$33:$A$40,MATCH(A82,Assumptions!$B$33:$B$40,0)),"")))</f>
        <v/>
      </c>
      <c r="I82" s="10" t="n">
        <f aca="false">IF(A82=Assumptions!$B$14,Assumptions!$B$17,IF(A82&gt;Assumptions!$B$14,N(I81)-E82,0))</f>
        <v>542989.46860309</v>
      </c>
      <c r="J82" s="10" t="n">
        <f aca="false">IF(A82&gt;Assumptions!$B$14,N(I81)*Assumptions!$B$15/12,0)</f>
        <v>1180.55423101558</v>
      </c>
      <c r="K82" s="10" t="n">
        <f aca="false">SUMIFS(Assumptions!$D$33:$D$40,Assumptions!$B$33:$B$40,A82)</f>
        <v>0</v>
      </c>
      <c r="L82" s="10" t="n">
        <f aca="false">N(N81)</f>
        <v>1297360.12610867</v>
      </c>
      <c r="M82" s="10" t="n">
        <f aca="false">L82*Assumptions!$B$26/12</f>
        <v>1621.70015763583</v>
      </c>
      <c r="N82" s="10" t="n">
        <f aca="false">L82+K82-(IF(L82&gt;0,PMT(Assumptions!$B$26/12,(Assumptions!$B$27*12+1-((YEAR(A82)-YEAR(Assumptions!$B$33))*12+MONTH(A82)-MONTH(Assumptions!$B$33))),-L82),0)-M82)</f>
        <v>1293567.97808</v>
      </c>
    </row>
    <row r="83" customFormat="false" ht="15.75" hidden="false" customHeight="false" outlineLevel="0" collapsed="false">
      <c r="A83" s="6" t="n">
        <v>48731</v>
      </c>
      <c r="B83" s="8" t="n">
        <f aca="false">IF(A83&lt;Assumptions!$B$4,Assumptions!$B$3,Assumptions!$B$5)</f>
        <v>4500</v>
      </c>
      <c r="C83" s="8" t="n">
        <v>0</v>
      </c>
      <c r="D83" s="8" t="n">
        <f aca="false">IF(A83=Assumptions!$B$14,Assumptions!$B$13,IF(AND(A83&gt;Assumptions!$B$14,N(I82)&gt;0.5),Assumptions!$B$18,0))</f>
        <v>3062.26917357728</v>
      </c>
      <c r="E83" s="8" t="n">
        <f aca="false">IF(A83=Assumptions!$B$14,Assumptions!$B$10,IF(A83&gt;Assumptions!$B$14,D83-J83,0))</f>
        <v>1885.79199160392</v>
      </c>
      <c r="F83" s="8" t="n">
        <f aca="false">IF(A83=Assumptions!$B$25,Assumptions!$B$24,0)+IF(L83&gt;0,PMT(Assumptions!$B$26/12,(Assumptions!$B$27*12+1-((YEAR(A83)-YEAR(Assumptions!$B$33))*12+MONTH(A83)-MONTH(Assumptions!$B$33))),-L83),0)</f>
        <v>5413.84818630807</v>
      </c>
      <c r="G83" s="8" t="n">
        <f aca="false">IF(A83=Assumptions!$B$25,Assumptions!$B$23,0)+IF(L83&gt;0,PMT(Assumptions!$B$26/12,(Assumptions!$B$27*12+1-((YEAR(A83)-YEAR(Assumptions!$B$33))*12+MONTH(A83)-MONTH(Assumptions!$B$33))),-L83),0)-M83</f>
        <v>3796.88821370808</v>
      </c>
      <c r="H83" s="9" t="str">
        <f aca="false">IF(A83=Assumptions!$B$25,"Condo: OTP + S&amp;P + 25% equity paid",IF(A83=Assumptions!$B$14,"HDB: completion, downpayment paid",IFERROR("Condo: "&amp;INDEX(Assumptions!$A$33:$A$40,MATCH(A83,Assumptions!$B$33:$B$40,0)),"")))</f>
        <v/>
      </c>
      <c r="I83" s="10" t="n">
        <f aca="false">IF(A83=Assumptions!$B$14,Assumptions!$B$17,IF(A83&gt;Assumptions!$B$14,N(I82)-E83,0))</f>
        <v>541103.676611486</v>
      </c>
      <c r="J83" s="10" t="n">
        <f aca="false">IF(A83&gt;Assumptions!$B$14,N(I82)*Assumptions!$B$15/12,0)</f>
        <v>1176.47718197336</v>
      </c>
      <c r="K83" s="10" t="n">
        <f aca="false">SUMIFS(Assumptions!$D$33:$D$40,Assumptions!$B$33:$B$40,A83)</f>
        <v>0</v>
      </c>
      <c r="L83" s="10" t="n">
        <f aca="false">N(N82)</f>
        <v>1293567.97808</v>
      </c>
      <c r="M83" s="10" t="n">
        <f aca="false">L83*Assumptions!$B$26/12</f>
        <v>1616.95997259999</v>
      </c>
      <c r="N83" s="10" t="n">
        <f aca="false">L83+K83-(IF(L83&gt;0,PMT(Assumptions!$B$26/12,(Assumptions!$B$27*12+1-((YEAR(A83)-YEAR(Assumptions!$B$33))*12+MONTH(A83)-MONTH(Assumptions!$B$33))),-L83),0)-M83)</f>
        <v>1289771.08986629</v>
      </c>
    </row>
    <row r="84" customFormat="false" ht="15.75" hidden="false" customHeight="false" outlineLevel="0" collapsed="false">
      <c r="A84" s="6" t="n">
        <v>48761</v>
      </c>
      <c r="B84" s="8" t="n">
        <f aca="false">IF(A84&lt;Assumptions!$B$4,Assumptions!$B$3,Assumptions!$B$5)</f>
        <v>4500</v>
      </c>
      <c r="C84" s="8" t="n">
        <v>0</v>
      </c>
      <c r="D84" s="8" t="n">
        <f aca="false">IF(A84=Assumptions!$B$14,Assumptions!$B$13,IF(AND(A84&gt;Assumptions!$B$14,N(I83)&gt;0.5),Assumptions!$B$18,0))</f>
        <v>3062.26917357728</v>
      </c>
      <c r="E84" s="8" t="n">
        <f aca="false">IF(A84=Assumptions!$B$14,Assumptions!$B$10,IF(A84&gt;Assumptions!$B$14,D84-J84,0))</f>
        <v>1889.8778742524</v>
      </c>
      <c r="F84" s="8" t="n">
        <f aca="false">IF(A84=Assumptions!$B$25,Assumptions!$B$24,0)+IF(L84&gt;0,PMT(Assumptions!$B$26/12,(Assumptions!$B$27*12+1-((YEAR(A84)-YEAR(Assumptions!$B$33))*12+MONTH(A84)-MONTH(Assumptions!$B$33))),-L84),0)</f>
        <v>5413.84818630807</v>
      </c>
      <c r="G84" s="8" t="n">
        <f aca="false">IF(A84=Assumptions!$B$25,Assumptions!$B$23,0)+IF(L84&gt;0,PMT(Assumptions!$B$26/12,(Assumptions!$B$27*12+1-((YEAR(A84)-YEAR(Assumptions!$B$33))*12+MONTH(A84)-MONTH(Assumptions!$B$33))),-L84),0)-M84</f>
        <v>3801.63432397521</v>
      </c>
      <c r="H84" s="9" t="str">
        <f aca="false">IF(A84=Assumptions!$B$25,"Condo: OTP + S&amp;P + 25% equity paid",IF(A84=Assumptions!$B$14,"HDB: completion, downpayment paid",IFERROR("Condo: "&amp;INDEX(Assumptions!$A$33:$A$40,MATCH(A84,Assumptions!$B$33:$B$40,0)),"")))</f>
        <v/>
      </c>
      <c r="I84" s="10" t="n">
        <f aca="false">IF(A84=Assumptions!$B$14,Assumptions!$B$17,IF(A84&gt;Assumptions!$B$14,N(I83)-E84,0))</f>
        <v>539213.798737233</v>
      </c>
      <c r="J84" s="10" t="n">
        <f aca="false">IF(A84&gt;Assumptions!$B$14,N(I83)*Assumptions!$B$15/12,0)</f>
        <v>1172.39129932489</v>
      </c>
      <c r="K84" s="10" t="n">
        <f aca="false">SUMIFS(Assumptions!$D$33:$D$40,Assumptions!$B$33:$B$40,A84)</f>
        <v>0</v>
      </c>
      <c r="L84" s="10" t="n">
        <f aca="false">N(N83)</f>
        <v>1289771.08986629</v>
      </c>
      <c r="M84" s="10" t="n">
        <f aca="false">L84*Assumptions!$B$26/12</f>
        <v>1612.21386233286</v>
      </c>
      <c r="N84" s="10" t="n">
        <f aca="false">L84+K84-(IF(L84&gt;0,PMT(Assumptions!$B$26/12,(Assumptions!$B$27*12+1-((YEAR(A84)-YEAR(Assumptions!$B$33))*12+MONTH(A84)-MONTH(Assumptions!$B$33))),-L84),0)-M84)</f>
        <v>1285969.45554231</v>
      </c>
    </row>
    <row r="85" customFormat="false" ht="15.75" hidden="false" customHeight="false" outlineLevel="0" collapsed="false">
      <c r="A85" s="6" t="n">
        <v>48792</v>
      </c>
      <c r="B85" s="8" t="n">
        <f aca="false">IF(A85&lt;Assumptions!$B$4,Assumptions!$B$3,Assumptions!$B$5)</f>
        <v>4500</v>
      </c>
      <c r="C85" s="8" t="n">
        <v>0</v>
      </c>
      <c r="D85" s="8" t="n">
        <f aca="false">IF(A85=Assumptions!$B$14,Assumptions!$B$13,IF(AND(A85&gt;Assumptions!$B$14,N(I84)&gt;0.5),Assumptions!$B$18,0))</f>
        <v>3062.26917357728</v>
      </c>
      <c r="E85" s="8" t="n">
        <f aca="false">IF(A85=Assumptions!$B$14,Assumptions!$B$10,IF(A85&gt;Assumptions!$B$14,D85-J85,0))</f>
        <v>1893.97260964661</v>
      </c>
      <c r="F85" s="8" t="n">
        <f aca="false">IF(A85=Assumptions!$B$25,Assumptions!$B$24,0)+IF(L85&gt;0,PMT(Assumptions!$B$26/12,(Assumptions!$B$27*12+1-((YEAR(A85)-YEAR(Assumptions!$B$33))*12+MONTH(A85)-MONTH(Assumptions!$B$33))),-L85),0)</f>
        <v>5413.84818630807</v>
      </c>
      <c r="G85" s="8" t="n">
        <f aca="false">IF(A85=Assumptions!$B$25,Assumptions!$B$23,0)+IF(L85&gt;0,PMT(Assumptions!$B$26/12,(Assumptions!$B$27*12+1-((YEAR(A85)-YEAR(Assumptions!$B$33))*12+MONTH(A85)-MONTH(Assumptions!$B$33))),-L85),0)-M85</f>
        <v>3806.38636688018</v>
      </c>
      <c r="H85" s="9" t="str">
        <f aca="false">IF(A85=Assumptions!$B$25,"Condo: OTP + S&amp;P + 25% equity paid",IF(A85=Assumptions!$B$14,"HDB: completion, downpayment paid",IFERROR("Condo: "&amp;INDEX(Assumptions!$A$33:$A$40,MATCH(A85,Assumptions!$B$33:$B$40,0)),"")))</f>
        <v/>
      </c>
      <c r="I85" s="10" t="n">
        <f aca="false">IF(A85=Assumptions!$B$14,Assumptions!$B$17,IF(A85&gt;Assumptions!$B$14,N(I84)-E85,0))</f>
        <v>537319.826127587</v>
      </c>
      <c r="J85" s="10" t="n">
        <f aca="false">IF(A85&gt;Assumptions!$B$14,N(I84)*Assumptions!$B$15/12,0)</f>
        <v>1168.29656393067</v>
      </c>
      <c r="K85" s="10" t="n">
        <f aca="false">SUMIFS(Assumptions!$D$33:$D$40,Assumptions!$B$33:$B$40,A85)</f>
        <v>0</v>
      </c>
      <c r="L85" s="10" t="n">
        <f aca="false">N(N84)</f>
        <v>1285969.45554231</v>
      </c>
      <c r="M85" s="10" t="n">
        <f aca="false">L85*Assumptions!$B$26/12</f>
        <v>1607.46181942789</v>
      </c>
      <c r="N85" s="10" t="n">
        <f aca="false">L85+K85-(IF(L85&gt;0,PMT(Assumptions!$B$26/12,(Assumptions!$B$27*12+1-((YEAR(A85)-YEAR(Assumptions!$B$33))*12+MONTH(A85)-MONTH(Assumptions!$B$33))),-L85),0)-M85)</f>
        <v>1282163.06917543</v>
      </c>
    </row>
    <row r="86" customFormat="false" ht="15.75" hidden="false" customHeight="false" outlineLevel="0" collapsed="false">
      <c r="A86" s="6" t="n">
        <v>48823</v>
      </c>
      <c r="B86" s="8" t="n">
        <f aca="false">IF(A86&lt;Assumptions!$B$4,Assumptions!$B$3,Assumptions!$B$5)</f>
        <v>4500</v>
      </c>
      <c r="C86" s="8" t="n">
        <v>0</v>
      </c>
      <c r="D86" s="8" t="n">
        <f aca="false">IF(A86=Assumptions!$B$14,Assumptions!$B$13,IF(AND(A86&gt;Assumptions!$B$14,N(I85)&gt;0.5),Assumptions!$B$18,0))</f>
        <v>3062.26917357728</v>
      </c>
      <c r="E86" s="8" t="n">
        <f aca="false">IF(A86=Assumptions!$B$14,Assumptions!$B$10,IF(A86&gt;Assumptions!$B$14,D86-J86,0))</f>
        <v>1898.07621696751</v>
      </c>
      <c r="F86" s="8" t="n">
        <f aca="false">IF(A86=Assumptions!$B$25,Assumptions!$B$24,0)+IF(L86&gt;0,PMT(Assumptions!$B$26/12,(Assumptions!$B$27*12+1-((YEAR(A86)-YEAR(Assumptions!$B$33))*12+MONTH(A86)-MONTH(Assumptions!$B$33))),-L86),0)</f>
        <v>5413.84818630807</v>
      </c>
      <c r="G86" s="8" t="n">
        <f aca="false">IF(A86=Assumptions!$B$25,Assumptions!$B$23,0)+IF(L86&gt;0,PMT(Assumptions!$B$26/12,(Assumptions!$B$27*12+1-((YEAR(A86)-YEAR(Assumptions!$B$33))*12+MONTH(A86)-MONTH(Assumptions!$B$33))),-L86),0)-M86</f>
        <v>3811.14434983878</v>
      </c>
      <c r="H86" s="9" t="str">
        <f aca="false">IF(A86=Assumptions!$B$25,"Condo: OTP + S&amp;P + 25% equity paid",IF(A86=Assumptions!$B$14,"HDB: completion, downpayment paid",IFERROR("Condo: "&amp;INDEX(Assumptions!$A$33:$A$40,MATCH(A86,Assumptions!$B$33:$B$40,0)),"")))</f>
        <v/>
      </c>
      <c r="I86" s="10" t="n">
        <f aca="false">IF(A86=Assumptions!$B$14,Assumptions!$B$17,IF(A86&gt;Assumptions!$B$14,N(I85)-E86,0))</f>
        <v>535421.749910619</v>
      </c>
      <c r="J86" s="10" t="n">
        <f aca="false">IF(A86&gt;Assumptions!$B$14,N(I85)*Assumptions!$B$15/12,0)</f>
        <v>1164.19295660977</v>
      </c>
      <c r="K86" s="10" t="n">
        <f aca="false">SUMIFS(Assumptions!$D$33:$D$40,Assumptions!$B$33:$B$40,A86)</f>
        <v>0</v>
      </c>
      <c r="L86" s="10" t="n">
        <f aca="false">N(N85)</f>
        <v>1282163.06917543</v>
      </c>
      <c r="M86" s="10" t="n">
        <f aca="false">L86*Assumptions!$B$26/12</f>
        <v>1602.70383646929</v>
      </c>
      <c r="N86" s="10" t="n">
        <f aca="false">L86+K86-(IF(L86&gt;0,PMT(Assumptions!$B$26/12,(Assumptions!$B$27*12+1-((YEAR(A86)-YEAR(Assumptions!$B$33))*12+MONTH(A86)-MONTH(Assumptions!$B$33))),-L86),0)-M86)</f>
        <v>1278351.92482559</v>
      </c>
    </row>
    <row r="87" customFormat="false" ht="15.75" hidden="false" customHeight="false" outlineLevel="0" collapsed="false">
      <c r="A87" s="6" t="n">
        <v>48853</v>
      </c>
      <c r="B87" s="8" t="n">
        <f aca="false">IF(A87&lt;Assumptions!$B$4,Assumptions!$B$3,Assumptions!$B$5)</f>
        <v>4500</v>
      </c>
      <c r="C87" s="8" t="n">
        <v>0</v>
      </c>
      <c r="D87" s="8" t="n">
        <f aca="false">IF(A87=Assumptions!$B$14,Assumptions!$B$13,IF(AND(A87&gt;Assumptions!$B$14,N(I86)&gt;0.5),Assumptions!$B$18,0))</f>
        <v>3062.26917357728</v>
      </c>
      <c r="E87" s="8" t="n">
        <f aca="false">IF(A87=Assumptions!$B$14,Assumptions!$B$10,IF(A87&gt;Assumptions!$B$14,D87-J87,0))</f>
        <v>1902.18871543761</v>
      </c>
      <c r="F87" s="8" t="n">
        <f aca="false">IF(A87=Assumptions!$B$25,Assumptions!$B$24,0)+IF(L87&gt;0,PMT(Assumptions!$B$26/12,(Assumptions!$B$27*12+1-((YEAR(A87)-YEAR(Assumptions!$B$33))*12+MONTH(A87)-MONTH(Assumptions!$B$33))),-L87),0)</f>
        <v>5413.84818630807</v>
      </c>
      <c r="G87" s="8" t="n">
        <f aca="false">IF(A87=Assumptions!$B$25,Assumptions!$B$23,0)+IF(L87&gt;0,PMT(Assumptions!$B$26/12,(Assumptions!$B$27*12+1-((YEAR(A87)-YEAR(Assumptions!$B$33))*12+MONTH(A87)-MONTH(Assumptions!$B$33))),-L87),0)-M87</f>
        <v>3815.90828027608</v>
      </c>
      <c r="H87" s="9" t="str">
        <f aca="false">IF(A87=Assumptions!$B$25,"Condo: OTP + S&amp;P + 25% equity paid",IF(A87=Assumptions!$B$14,"HDB: completion, downpayment paid",IFERROR("Condo: "&amp;INDEX(Assumptions!$A$33:$A$40,MATCH(A87,Assumptions!$B$33:$B$40,0)),"")))</f>
        <v/>
      </c>
      <c r="I87" s="10" t="n">
        <f aca="false">IF(A87=Assumptions!$B$14,Assumptions!$B$17,IF(A87&gt;Assumptions!$B$14,N(I86)-E87,0))</f>
        <v>533519.561195181</v>
      </c>
      <c r="J87" s="10" t="n">
        <f aca="false">IF(A87&gt;Assumptions!$B$14,N(I86)*Assumptions!$B$15/12,0)</f>
        <v>1160.08045813967</v>
      </c>
      <c r="K87" s="10" t="n">
        <f aca="false">SUMIFS(Assumptions!$D$33:$D$40,Assumptions!$B$33:$B$40,A87)</f>
        <v>0</v>
      </c>
      <c r="L87" s="10" t="n">
        <f aca="false">N(N86)</f>
        <v>1278351.92482559</v>
      </c>
      <c r="M87" s="10" t="n">
        <f aca="false">L87*Assumptions!$B$26/12</f>
        <v>1597.93990603199</v>
      </c>
      <c r="N87" s="10" t="n">
        <f aca="false">L87+K87-(IF(L87&gt;0,PMT(Assumptions!$B$26/12,(Assumptions!$B$27*12+1-((YEAR(A87)-YEAR(Assumptions!$B$33))*12+MONTH(A87)-MONTH(Assumptions!$B$33))),-L87),0)-M87)</f>
        <v>1274536.01654532</v>
      </c>
    </row>
    <row r="88" customFormat="false" ht="15.75" hidden="false" customHeight="false" outlineLevel="0" collapsed="false">
      <c r="A88" s="6" t="n">
        <v>48884</v>
      </c>
      <c r="B88" s="8" t="n">
        <f aca="false">IF(A88&lt;Assumptions!$B$4,Assumptions!$B$3,Assumptions!$B$5)</f>
        <v>4500</v>
      </c>
      <c r="C88" s="8" t="n">
        <v>0</v>
      </c>
      <c r="D88" s="8" t="n">
        <f aca="false">IF(A88=Assumptions!$B$14,Assumptions!$B$13,IF(AND(A88&gt;Assumptions!$B$14,N(I87)&gt;0.5),Assumptions!$B$18,0))</f>
        <v>3062.26917357728</v>
      </c>
      <c r="E88" s="8" t="n">
        <f aca="false">IF(A88=Assumptions!$B$14,Assumptions!$B$10,IF(A88&gt;Assumptions!$B$14,D88-J88,0))</f>
        <v>1906.31012432105</v>
      </c>
      <c r="F88" s="8" t="n">
        <f aca="false">IF(A88=Assumptions!$B$25,Assumptions!$B$24,0)+IF(L88&gt;0,PMT(Assumptions!$B$26/12,(Assumptions!$B$27*12+1-((YEAR(A88)-YEAR(Assumptions!$B$33))*12+MONTH(A88)-MONTH(Assumptions!$B$33))),-L88),0)</f>
        <v>5413.84818630807</v>
      </c>
      <c r="G88" s="8" t="n">
        <f aca="false">IF(A88=Assumptions!$B$25,Assumptions!$B$23,0)+IF(L88&gt;0,PMT(Assumptions!$B$26/12,(Assumptions!$B$27*12+1-((YEAR(A88)-YEAR(Assumptions!$B$33))*12+MONTH(A88)-MONTH(Assumptions!$B$33))),-L88),0)-M88</f>
        <v>3820.67816562643</v>
      </c>
      <c r="H88" s="9" t="str">
        <f aca="false">IF(A88=Assumptions!$B$25,"Condo: OTP + S&amp;P + 25% equity paid",IF(A88=Assumptions!$B$14,"HDB: completion, downpayment paid",IFERROR("Condo: "&amp;INDEX(Assumptions!$A$33:$A$40,MATCH(A88,Assumptions!$B$33:$B$40,0)),"")))</f>
        <v/>
      </c>
      <c r="I88" s="10" t="n">
        <f aca="false">IF(A88=Assumptions!$B$14,Assumptions!$B$17,IF(A88&gt;Assumptions!$B$14,N(I87)-E88,0))</f>
        <v>531613.25107086</v>
      </c>
      <c r="J88" s="10" t="n">
        <f aca="false">IF(A88&gt;Assumptions!$B$14,N(I87)*Assumptions!$B$15/12,0)</f>
        <v>1155.95904925623</v>
      </c>
      <c r="K88" s="10" t="n">
        <f aca="false">SUMIFS(Assumptions!$D$33:$D$40,Assumptions!$B$33:$B$40,A88)</f>
        <v>0</v>
      </c>
      <c r="L88" s="10" t="n">
        <f aca="false">N(N87)</f>
        <v>1274536.01654532</v>
      </c>
      <c r="M88" s="10" t="n">
        <f aca="false">L88*Assumptions!$B$26/12</f>
        <v>1593.17002068165</v>
      </c>
      <c r="N88" s="10" t="n">
        <f aca="false">L88+K88-(IF(L88&gt;0,PMT(Assumptions!$B$26/12,(Assumptions!$B$27*12+1-((YEAR(A88)-YEAR(Assumptions!$B$33))*12+MONTH(A88)-MONTH(Assumptions!$B$33))),-L88),0)-M88)</f>
        <v>1270715.33837969</v>
      </c>
    </row>
    <row r="89" customFormat="false" ht="15.75" hidden="false" customHeight="false" outlineLevel="0" collapsed="false">
      <c r="A89" s="6" t="n">
        <v>48914</v>
      </c>
      <c r="B89" s="8" t="n">
        <f aca="false">IF(A89&lt;Assumptions!$B$4,Assumptions!$B$3,Assumptions!$B$5)</f>
        <v>4500</v>
      </c>
      <c r="C89" s="8" t="n">
        <v>0</v>
      </c>
      <c r="D89" s="8" t="n">
        <f aca="false">IF(A89=Assumptions!$B$14,Assumptions!$B$13,IF(AND(A89&gt;Assumptions!$B$14,N(I88)&gt;0.5),Assumptions!$B$18,0))</f>
        <v>3062.26917357728</v>
      </c>
      <c r="E89" s="8" t="n">
        <f aca="false">IF(A89=Assumptions!$B$14,Assumptions!$B$10,IF(A89&gt;Assumptions!$B$14,D89-J89,0))</f>
        <v>1910.44046292375</v>
      </c>
      <c r="F89" s="8" t="n">
        <f aca="false">IF(A89=Assumptions!$B$25,Assumptions!$B$24,0)+IF(L89&gt;0,PMT(Assumptions!$B$26/12,(Assumptions!$B$27*12+1-((YEAR(A89)-YEAR(Assumptions!$B$33))*12+MONTH(A89)-MONTH(Assumptions!$B$33))),-L89),0)</f>
        <v>5413.84818630807</v>
      </c>
      <c r="G89" s="8" t="n">
        <f aca="false">IF(A89=Assumptions!$B$25,Assumptions!$B$23,0)+IF(L89&gt;0,PMT(Assumptions!$B$26/12,(Assumptions!$B$27*12+1-((YEAR(A89)-YEAR(Assumptions!$B$33))*12+MONTH(A89)-MONTH(Assumptions!$B$33))),-L89),0)-M89</f>
        <v>3825.45401333346</v>
      </c>
      <c r="H89" s="9" t="str">
        <f aca="false">IF(A89=Assumptions!$B$25,"Condo: OTP + S&amp;P + 25% equity paid",IF(A89=Assumptions!$B$14,"HDB: completion, downpayment paid",IFERROR("Condo: "&amp;INDEX(Assumptions!$A$33:$A$40,MATCH(A89,Assumptions!$B$33:$B$40,0)),"")))</f>
        <v/>
      </c>
      <c r="I89" s="10" t="n">
        <f aca="false">IF(A89=Assumptions!$B$14,Assumptions!$B$17,IF(A89&gt;Assumptions!$B$14,N(I88)-E89,0))</f>
        <v>529702.810607937</v>
      </c>
      <c r="J89" s="10" t="n">
        <f aca="false">IF(A89&gt;Assumptions!$B$14,N(I88)*Assumptions!$B$15/12,0)</f>
        <v>1151.82871065353</v>
      </c>
      <c r="K89" s="10" t="n">
        <f aca="false">SUMIFS(Assumptions!$D$33:$D$40,Assumptions!$B$33:$B$40,A89)</f>
        <v>0</v>
      </c>
      <c r="L89" s="10" t="n">
        <f aca="false">N(N88)</f>
        <v>1270715.33837969</v>
      </c>
      <c r="M89" s="10" t="n">
        <f aca="false">L89*Assumptions!$B$26/12</f>
        <v>1588.39417297461</v>
      </c>
      <c r="N89" s="10" t="n">
        <f aca="false">L89+K89-(IF(L89&gt;0,PMT(Assumptions!$B$26/12,(Assumptions!$B$27*12+1-((YEAR(A89)-YEAR(Assumptions!$B$33))*12+MONTH(A89)-MONTH(Assumptions!$B$33))),-L89),0)-M89)</f>
        <v>1266889.88436636</v>
      </c>
    </row>
    <row r="90" customFormat="false" ht="15.75" hidden="false" customHeight="false" outlineLevel="0" collapsed="false">
      <c r="A90" s="6" t="n">
        <v>48945</v>
      </c>
      <c r="B90" s="8" t="n">
        <f aca="false">IF(A90&lt;Assumptions!$B$4,Assumptions!$B$3,Assumptions!$B$5)</f>
        <v>4500</v>
      </c>
      <c r="C90" s="8" t="n">
        <v>0</v>
      </c>
      <c r="D90" s="8" t="n">
        <f aca="false">IF(A90=Assumptions!$B$14,Assumptions!$B$13,IF(AND(A90&gt;Assumptions!$B$14,N(I89)&gt;0.5),Assumptions!$B$18,0))</f>
        <v>3062.26917357728</v>
      </c>
      <c r="E90" s="8" t="n">
        <f aca="false">IF(A90=Assumptions!$B$14,Assumptions!$B$10,IF(A90&gt;Assumptions!$B$14,D90-J90,0))</f>
        <v>1914.57975059342</v>
      </c>
      <c r="F90" s="8" t="n">
        <f aca="false">IF(A90=Assumptions!$B$25,Assumptions!$B$24,0)+IF(L90&gt;0,PMT(Assumptions!$B$26/12,(Assumptions!$B$27*12+1-((YEAR(A90)-YEAR(Assumptions!$B$33))*12+MONTH(A90)-MONTH(Assumptions!$B$33))),-L90),0)</f>
        <v>5413.84818630807</v>
      </c>
      <c r="G90" s="8" t="n">
        <f aca="false">IF(A90=Assumptions!$B$25,Assumptions!$B$23,0)+IF(L90&gt;0,PMT(Assumptions!$B$26/12,(Assumptions!$B$27*12+1-((YEAR(A90)-YEAR(Assumptions!$B$33))*12+MONTH(A90)-MONTH(Assumptions!$B$33))),-L90),0)-M90</f>
        <v>3830.23583085012</v>
      </c>
      <c r="H90" s="9" t="str">
        <f aca="false">IF(A90=Assumptions!$B$25,"Condo: OTP + S&amp;P + 25% equity paid",IF(A90=Assumptions!$B$14,"HDB: completion, downpayment paid",IFERROR("Condo: "&amp;INDEX(Assumptions!$A$33:$A$40,MATCH(A90,Assumptions!$B$33:$B$40,0)),"")))</f>
        <v/>
      </c>
      <c r="I90" s="10" t="n">
        <f aca="false">IF(A90=Assumptions!$B$14,Assumptions!$B$17,IF(A90&gt;Assumptions!$B$14,N(I89)-E90,0))</f>
        <v>527788.230857343</v>
      </c>
      <c r="J90" s="10" t="n">
        <f aca="false">IF(A90&gt;Assumptions!$B$14,N(I89)*Assumptions!$B$15/12,0)</f>
        <v>1147.68942298386</v>
      </c>
      <c r="K90" s="10" t="n">
        <f aca="false">SUMIFS(Assumptions!$D$33:$D$40,Assumptions!$B$33:$B$40,A90)</f>
        <v>0</v>
      </c>
      <c r="L90" s="10" t="n">
        <f aca="false">N(N89)</f>
        <v>1266889.88436636</v>
      </c>
      <c r="M90" s="10" t="n">
        <f aca="false">L90*Assumptions!$B$26/12</f>
        <v>1583.61235545795</v>
      </c>
      <c r="N90" s="10" t="n">
        <f aca="false">L90+K90-(IF(L90&gt;0,PMT(Assumptions!$B$26/12,(Assumptions!$B$27*12+1-((YEAR(A90)-YEAR(Assumptions!$B$33))*12+MONTH(A90)-MONTH(Assumptions!$B$33))),-L90),0)-M90)</f>
        <v>1263059.64853551</v>
      </c>
    </row>
    <row r="91" customFormat="false" ht="15.75" hidden="false" customHeight="false" outlineLevel="0" collapsed="false">
      <c r="A91" s="6" t="n">
        <v>48976</v>
      </c>
      <c r="B91" s="8" t="n">
        <f aca="false">IF(A91&lt;Assumptions!$B$4,Assumptions!$B$3,Assumptions!$B$5)</f>
        <v>4500</v>
      </c>
      <c r="C91" s="8" t="n">
        <v>0</v>
      </c>
      <c r="D91" s="8" t="n">
        <f aca="false">IF(A91=Assumptions!$B$14,Assumptions!$B$13,IF(AND(A91&gt;Assumptions!$B$14,N(I90)&gt;0.5),Assumptions!$B$18,0))</f>
        <v>3062.26917357728</v>
      </c>
      <c r="E91" s="8" t="n">
        <f aca="false">IF(A91=Assumptions!$B$14,Assumptions!$B$10,IF(A91&gt;Assumptions!$B$14,D91-J91,0))</f>
        <v>1918.7280067197</v>
      </c>
      <c r="F91" s="8" t="n">
        <f aca="false">IF(A91=Assumptions!$B$25,Assumptions!$B$24,0)+IF(L91&gt;0,PMT(Assumptions!$B$26/12,(Assumptions!$B$27*12+1-((YEAR(A91)-YEAR(Assumptions!$B$33))*12+MONTH(A91)-MONTH(Assumptions!$B$33))),-L91),0)</f>
        <v>5413.84818630807</v>
      </c>
      <c r="G91" s="8" t="n">
        <f aca="false">IF(A91=Assumptions!$B$25,Assumptions!$B$23,0)+IF(L91&gt;0,PMT(Assumptions!$B$26/12,(Assumptions!$B$27*12+1-((YEAR(A91)-YEAR(Assumptions!$B$33))*12+MONTH(A91)-MONTH(Assumptions!$B$33))),-L91),0)-M91</f>
        <v>3835.02362563869</v>
      </c>
      <c r="H91" s="9" t="str">
        <f aca="false">IF(A91=Assumptions!$B$25,"Condo: OTP + S&amp;P + 25% equity paid",IF(A91=Assumptions!$B$14,"HDB: completion, downpayment paid",IFERROR("Condo: "&amp;INDEX(Assumptions!$A$33:$A$40,MATCH(A91,Assumptions!$B$33:$B$40,0)),"")))</f>
        <v/>
      </c>
      <c r="I91" s="10" t="n">
        <f aca="false">IF(A91=Assumptions!$B$14,Assumptions!$B$17,IF(A91&gt;Assumptions!$B$14,N(I90)-E91,0))</f>
        <v>525869.502850624</v>
      </c>
      <c r="J91" s="10" t="n">
        <f aca="false">IF(A91&gt;Assumptions!$B$14,N(I90)*Assumptions!$B$15/12,0)</f>
        <v>1143.54116685758</v>
      </c>
      <c r="K91" s="10" t="n">
        <f aca="false">SUMIFS(Assumptions!$D$33:$D$40,Assumptions!$B$33:$B$40,A91)</f>
        <v>0</v>
      </c>
      <c r="L91" s="10" t="n">
        <f aca="false">N(N90)</f>
        <v>1263059.64853551</v>
      </c>
      <c r="M91" s="10" t="n">
        <f aca="false">L91*Assumptions!$B$26/12</f>
        <v>1578.82456066938</v>
      </c>
      <c r="N91" s="10" t="n">
        <f aca="false">L91+K91-(IF(L91&gt;0,PMT(Assumptions!$B$26/12,(Assumptions!$B$27*12+1-((YEAR(A91)-YEAR(Assumptions!$B$33))*12+MONTH(A91)-MONTH(Assumptions!$B$33))),-L91),0)-M91)</f>
        <v>1259224.62490987</v>
      </c>
    </row>
    <row r="92" customFormat="false" ht="15.75" hidden="false" customHeight="false" outlineLevel="0" collapsed="false">
      <c r="A92" s="6" t="n">
        <v>49004</v>
      </c>
      <c r="B92" s="8" t="n">
        <f aca="false">IF(A92&lt;Assumptions!$B$4,Assumptions!$B$3,Assumptions!$B$5)</f>
        <v>4500</v>
      </c>
      <c r="C92" s="8" t="n">
        <v>0</v>
      </c>
      <c r="D92" s="8" t="n">
        <f aca="false">IF(A92=Assumptions!$B$14,Assumptions!$B$13,IF(AND(A92&gt;Assumptions!$B$14,N(I91)&gt;0.5),Assumptions!$B$18,0))</f>
        <v>3062.26917357728</v>
      </c>
      <c r="E92" s="8" t="n">
        <f aca="false">IF(A92=Assumptions!$B$14,Assumptions!$B$10,IF(A92&gt;Assumptions!$B$14,D92-J92,0))</f>
        <v>1922.88525073426</v>
      </c>
      <c r="F92" s="8" t="n">
        <f aca="false">IF(A92=Assumptions!$B$25,Assumptions!$B$24,0)+IF(L92&gt;0,PMT(Assumptions!$B$26/12,(Assumptions!$B$27*12+1-((YEAR(A92)-YEAR(Assumptions!$B$33))*12+MONTH(A92)-MONTH(Assumptions!$B$33))),-L92),0)</f>
        <v>5413.84818630807</v>
      </c>
      <c r="G92" s="8" t="n">
        <f aca="false">IF(A92=Assumptions!$B$25,Assumptions!$B$23,0)+IF(L92&gt;0,PMT(Assumptions!$B$26/12,(Assumptions!$B$27*12+1-((YEAR(A92)-YEAR(Assumptions!$B$33))*12+MONTH(A92)-MONTH(Assumptions!$B$33))),-L92),0)-M92</f>
        <v>3839.81740517073</v>
      </c>
      <c r="H92" s="9" t="str">
        <f aca="false">IF(A92=Assumptions!$B$25,"Condo: OTP + S&amp;P + 25% equity paid",IF(A92=Assumptions!$B$14,"HDB: completion, downpayment paid",IFERROR("Condo: "&amp;INDEX(Assumptions!$A$33:$A$40,MATCH(A92,Assumptions!$B$33:$B$40,0)),"")))</f>
        <v/>
      </c>
      <c r="I92" s="10" t="n">
        <f aca="false">IF(A92=Assumptions!$B$14,Assumptions!$B$17,IF(A92&gt;Assumptions!$B$14,N(I91)-E92,0))</f>
        <v>523946.617599889</v>
      </c>
      <c r="J92" s="10" t="n">
        <f aca="false">IF(A92&gt;Assumptions!$B$14,N(I91)*Assumptions!$B$15/12,0)</f>
        <v>1139.38392284302</v>
      </c>
      <c r="K92" s="10" t="n">
        <f aca="false">SUMIFS(Assumptions!$D$33:$D$40,Assumptions!$B$33:$B$40,A92)</f>
        <v>0</v>
      </c>
      <c r="L92" s="10" t="n">
        <f aca="false">N(N91)</f>
        <v>1259224.62490987</v>
      </c>
      <c r="M92" s="10" t="n">
        <f aca="false">L92*Assumptions!$B$26/12</f>
        <v>1574.03078113734</v>
      </c>
      <c r="N92" s="10" t="n">
        <f aca="false">L92+K92-(IF(L92&gt;0,PMT(Assumptions!$B$26/12,(Assumptions!$B$27*12+1-((YEAR(A92)-YEAR(Assumptions!$B$33))*12+MONTH(A92)-MONTH(Assumptions!$B$33))),-L92),0)-M92)</f>
        <v>1255384.8075047</v>
      </c>
    </row>
    <row r="93" customFormat="false" ht="15.75" hidden="false" customHeight="false" outlineLevel="0" collapsed="false">
      <c r="A93" s="6" t="n">
        <v>49035</v>
      </c>
      <c r="B93" s="8" t="n">
        <f aca="false">IF(A93&lt;Assumptions!$B$4,Assumptions!$B$3,Assumptions!$B$5)</f>
        <v>4500</v>
      </c>
      <c r="C93" s="8" t="n">
        <v>0</v>
      </c>
      <c r="D93" s="8" t="n">
        <f aca="false">IF(A93=Assumptions!$B$14,Assumptions!$B$13,IF(AND(A93&gt;Assumptions!$B$14,N(I92)&gt;0.5),Assumptions!$B$18,0))</f>
        <v>3062.26917357728</v>
      </c>
      <c r="E93" s="8" t="n">
        <f aca="false">IF(A93=Assumptions!$B$14,Assumptions!$B$10,IF(A93&gt;Assumptions!$B$14,D93-J93,0))</f>
        <v>1927.05150211085</v>
      </c>
      <c r="F93" s="8" t="n">
        <f aca="false">IF(A93=Assumptions!$B$25,Assumptions!$B$24,0)+IF(L93&gt;0,PMT(Assumptions!$B$26/12,(Assumptions!$B$27*12+1-((YEAR(A93)-YEAR(Assumptions!$B$33))*12+MONTH(A93)-MONTH(Assumptions!$B$33))),-L93),0)</f>
        <v>5413.84818630807</v>
      </c>
      <c r="G93" s="8" t="n">
        <f aca="false">IF(A93=Assumptions!$B$25,Assumptions!$B$23,0)+IF(L93&gt;0,PMT(Assumptions!$B$26/12,(Assumptions!$B$27*12+1-((YEAR(A93)-YEAR(Assumptions!$B$33))*12+MONTH(A93)-MONTH(Assumptions!$B$33))),-L93),0)-M93</f>
        <v>3844.6171769272</v>
      </c>
      <c r="H93" s="9" t="str">
        <f aca="false">IF(A93=Assumptions!$B$25,"Condo: OTP + S&amp;P + 25% equity paid",IF(A93=Assumptions!$B$14,"HDB: completion, downpayment paid",IFERROR("Condo: "&amp;INDEX(Assumptions!$A$33:$A$40,MATCH(A93,Assumptions!$B$33:$B$40,0)),"")))</f>
        <v/>
      </c>
      <c r="I93" s="10" t="n">
        <f aca="false">IF(A93=Assumptions!$B$14,Assumptions!$B$17,IF(A93&gt;Assumptions!$B$14,N(I92)-E93,0))</f>
        <v>522019.566097778</v>
      </c>
      <c r="J93" s="10" t="n">
        <f aca="false">IF(A93&gt;Assumptions!$B$14,N(I92)*Assumptions!$B$15/12,0)</f>
        <v>1135.21767146643</v>
      </c>
      <c r="K93" s="10" t="n">
        <f aca="false">SUMIFS(Assumptions!$D$33:$D$40,Assumptions!$B$33:$B$40,A93)</f>
        <v>0</v>
      </c>
      <c r="L93" s="10" t="n">
        <f aca="false">N(N92)</f>
        <v>1255384.8075047</v>
      </c>
      <c r="M93" s="10" t="n">
        <f aca="false">L93*Assumptions!$B$26/12</f>
        <v>1569.23100938087</v>
      </c>
      <c r="N93" s="10" t="n">
        <f aca="false">L93+K93-(IF(L93&gt;0,PMT(Assumptions!$B$26/12,(Assumptions!$B$27*12+1-((YEAR(A93)-YEAR(Assumptions!$B$33))*12+MONTH(A93)-MONTH(Assumptions!$B$33))),-L93),0)-M93)</f>
        <v>1251540.19032777</v>
      </c>
    </row>
    <row r="94" customFormat="false" ht="15.75" hidden="false" customHeight="false" outlineLevel="0" collapsed="false">
      <c r="A94" s="6" t="n">
        <v>49065</v>
      </c>
      <c r="B94" s="8" t="n">
        <f aca="false">IF(A94&lt;Assumptions!$B$4,Assumptions!$B$3,Assumptions!$B$5)</f>
        <v>4500</v>
      </c>
      <c r="C94" s="8" t="n">
        <v>0</v>
      </c>
      <c r="D94" s="8" t="n">
        <f aca="false">IF(A94=Assumptions!$B$14,Assumptions!$B$13,IF(AND(A94&gt;Assumptions!$B$14,N(I93)&gt;0.5),Assumptions!$B$18,0))</f>
        <v>3062.26917357728</v>
      </c>
      <c r="E94" s="8" t="n">
        <f aca="false">IF(A94=Assumptions!$B$14,Assumptions!$B$10,IF(A94&gt;Assumptions!$B$14,D94-J94,0))</f>
        <v>1931.22678036543</v>
      </c>
      <c r="F94" s="8" t="n">
        <f aca="false">IF(A94=Assumptions!$B$25,Assumptions!$B$24,0)+IF(L94&gt;0,PMT(Assumptions!$B$26/12,(Assumptions!$B$27*12+1-((YEAR(A94)-YEAR(Assumptions!$B$33))*12+MONTH(A94)-MONTH(Assumptions!$B$33))),-L94),0)</f>
        <v>5413.84818630807</v>
      </c>
      <c r="G94" s="8" t="n">
        <f aca="false">IF(A94=Assumptions!$B$25,Assumptions!$B$23,0)+IF(L94&gt;0,PMT(Assumptions!$B$26/12,(Assumptions!$B$27*12+1-((YEAR(A94)-YEAR(Assumptions!$B$33))*12+MONTH(A94)-MONTH(Assumptions!$B$33))),-L94),0)-M94</f>
        <v>3849.42294839836</v>
      </c>
      <c r="H94" s="9" t="str">
        <f aca="false">IF(A94=Assumptions!$B$25,"Condo: OTP + S&amp;P + 25% equity paid",IF(A94=Assumptions!$B$14,"HDB: completion, downpayment paid",IFERROR("Condo: "&amp;INDEX(Assumptions!$A$33:$A$40,MATCH(A94,Assumptions!$B$33:$B$40,0)),"")))</f>
        <v/>
      </c>
      <c r="I94" s="10" t="n">
        <f aca="false">IF(A94=Assumptions!$B$14,Assumptions!$B$17,IF(A94&gt;Assumptions!$B$14,N(I93)-E94,0))</f>
        <v>520088.339317413</v>
      </c>
      <c r="J94" s="10" t="n">
        <f aca="false">IF(A94&gt;Assumptions!$B$14,N(I93)*Assumptions!$B$15/12,0)</f>
        <v>1131.04239321185</v>
      </c>
      <c r="K94" s="10" t="n">
        <f aca="false">SUMIFS(Assumptions!$D$33:$D$40,Assumptions!$B$33:$B$40,A94)</f>
        <v>0</v>
      </c>
      <c r="L94" s="10" t="n">
        <f aca="false">N(N93)</f>
        <v>1251540.19032777</v>
      </c>
      <c r="M94" s="10" t="n">
        <f aca="false">L94*Assumptions!$B$26/12</f>
        <v>1564.42523790971</v>
      </c>
      <c r="N94" s="10" t="n">
        <f aca="false">L94+K94-(IF(L94&gt;0,PMT(Assumptions!$B$26/12,(Assumptions!$B$27*12+1-((YEAR(A94)-YEAR(Assumptions!$B$33))*12+MONTH(A94)-MONTH(Assumptions!$B$33))),-L94),0)-M94)</f>
        <v>1247690.76737937</v>
      </c>
    </row>
    <row r="95" customFormat="false" ht="15.75" hidden="false" customHeight="false" outlineLevel="0" collapsed="false">
      <c r="A95" s="6" t="n">
        <v>49096</v>
      </c>
      <c r="B95" s="8" t="n">
        <f aca="false">IF(A95&lt;Assumptions!$B$4,Assumptions!$B$3,Assumptions!$B$5)</f>
        <v>4500</v>
      </c>
      <c r="C95" s="8" t="n">
        <v>0</v>
      </c>
      <c r="D95" s="8" t="n">
        <f aca="false">IF(A95=Assumptions!$B$14,Assumptions!$B$13,IF(AND(A95&gt;Assumptions!$B$14,N(I94)&gt;0.5),Assumptions!$B$18,0))</f>
        <v>3062.26917357728</v>
      </c>
      <c r="E95" s="8" t="n">
        <f aca="false">IF(A95=Assumptions!$B$14,Assumptions!$B$10,IF(A95&gt;Assumptions!$B$14,D95-J95,0))</f>
        <v>1935.41110505622</v>
      </c>
      <c r="F95" s="8" t="n">
        <f aca="false">IF(A95=Assumptions!$B$25,Assumptions!$B$24,0)+IF(L95&gt;0,PMT(Assumptions!$B$26/12,(Assumptions!$B$27*12+1-((YEAR(A95)-YEAR(Assumptions!$B$33))*12+MONTH(A95)-MONTH(Assumptions!$B$33))),-L95),0)</f>
        <v>5413.84818630807</v>
      </c>
      <c r="G95" s="8" t="n">
        <f aca="false">IF(A95=Assumptions!$B$25,Assumptions!$B$23,0)+IF(L95&gt;0,PMT(Assumptions!$B$26/12,(Assumptions!$B$27*12+1-((YEAR(A95)-YEAR(Assumptions!$B$33))*12+MONTH(A95)-MONTH(Assumptions!$B$33))),-L95),0)-M95</f>
        <v>3854.23472708385</v>
      </c>
      <c r="H95" s="9" t="str">
        <f aca="false">IF(A95=Assumptions!$B$25,"Condo: OTP + S&amp;P + 25% equity paid",IF(A95=Assumptions!$B$14,"HDB: completion, downpayment paid",IFERROR("Condo: "&amp;INDEX(Assumptions!$A$33:$A$40,MATCH(A95,Assumptions!$B$33:$B$40,0)),"")))</f>
        <v/>
      </c>
      <c r="I95" s="10" t="n">
        <f aca="false">IF(A95=Assumptions!$B$14,Assumptions!$B$17,IF(A95&gt;Assumptions!$B$14,N(I94)-E95,0))</f>
        <v>518152.928212357</v>
      </c>
      <c r="J95" s="10" t="n">
        <f aca="false">IF(A95&gt;Assumptions!$B$14,N(I94)*Assumptions!$B$15/12,0)</f>
        <v>1126.85806852106</v>
      </c>
      <c r="K95" s="10" t="n">
        <f aca="false">SUMIFS(Assumptions!$D$33:$D$40,Assumptions!$B$33:$B$40,A95)</f>
        <v>0</v>
      </c>
      <c r="L95" s="10" t="n">
        <f aca="false">N(N94)</f>
        <v>1247690.76737937</v>
      </c>
      <c r="M95" s="10" t="n">
        <f aca="false">L95*Assumptions!$B$26/12</f>
        <v>1559.61345922421</v>
      </c>
      <c r="N95" s="10" t="n">
        <f aca="false">L95+K95-(IF(L95&gt;0,PMT(Assumptions!$B$26/12,(Assumptions!$B$27*12+1-((YEAR(A95)-YEAR(Assumptions!$B$33))*12+MONTH(A95)-MONTH(Assumptions!$B$33))),-L95),0)-M95)</f>
        <v>1243836.53265229</v>
      </c>
    </row>
    <row r="96" customFormat="false" ht="15.75" hidden="false" customHeight="false" outlineLevel="0" collapsed="false">
      <c r="A96" s="6" t="n">
        <v>49126</v>
      </c>
      <c r="B96" s="8" t="n">
        <f aca="false">IF(A96&lt;Assumptions!$B$4,Assumptions!$B$3,Assumptions!$B$5)</f>
        <v>4500</v>
      </c>
      <c r="C96" s="8" t="n">
        <v>0</v>
      </c>
      <c r="D96" s="8" t="n">
        <f aca="false">IF(A96=Assumptions!$B$14,Assumptions!$B$13,IF(AND(A96&gt;Assumptions!$B$14,N(I95)&gt;0.5),Assumptions!$B$18,0))</f>
        <v>3062.26917357728</v>
      </c>
      <c r="E96" s="8" t="n">
        <f aca="false">IF(A96=Assumptions!$B$14,Assumptions!$B$10,IF(A96&gt;Assumptions!$B$14,D96-J96,0))</f>
        <v>1939.60449578384</v>
      </c>
      <c r="F96" s="8" t="n">
        <f aca="false">IF(A96=Assumptions!$B$25,Assumptions!$B$24,0)+IF(L96&gt;0,PMT(Assumptions!$B$26/12,(Assumptions!$B$27*12+1-((YEAR(A96)-YEAR(Assumptions!$B$33))*12+MONTH(A96)-MONTH(Assumptions!$B$33))),-L96),0)</f>
        <v>5413.84818630807</v>
      </c>
      <c r="G96" s="8" t="n">
        <f aca="false">IF(A96=Assumptions!$B$25,Assumptions!$B$23,0)+IF(L96&gt;0,PMT(Assumptions!$B$26/12,(Assumptions!$B$27*12+1-((YEAR(A96)-YEAR(Assumptions!$B$33))*12+MONTH(A96)-MONTH(Assumptions!$B$33))),-L96),0)-M96</f>
        <v>3859.05252049271</v>
      </c>
      <c r="H96" s="9" t="str">
        <f aca="false">IF(A96=Assumptions!$B$25,"Condo: OTP + S&amp;P + 25% equity paid",IF(A96=Assumptions!$B$14,"HDB: completion, downpayment paid",IFERROR("Condo: "&amp;INDEX(Assumptions!$A$33:$A$40,MATCH(A96,Assumptions!$B$33:$B$40,0)),"")))</f>
        <v/>
      </c>
      <c r="I96" s="10" t="n">
        <f aca="false">IF(A96=Assumptions!$B$14,Assumptions!$B$17,IF(A96&gt;Assumptions!$B$14,N(I95)-E96,0))</f>
        <v>516213.323716573</v>
      </c>
      <c r="J96" s="10" t="n">
        <f aca="false">IF(A96&gt;Assumptions!$B$14,N(I95)*Assumptions!$B$15/12,0)</f>
        <v>1122.66467779344</v>
      </c>
      <c r="K96" s="10" t="n">
        <f aca="false">SUMIFS(Assumptions!$D$33:$D$40,Assumptions!$B$33:$B$40,A96)</f>
        <v>0</v>
      </c>
      <c r="L96" s="10" t="n">
        <f aca="false">N(N95)</f>
        <v>1243836.53265229</v>
      </c>
      <c r="M96" s="10" t="n">
        <f aca="false">L96*Assumptions!$B$26/12</f>
        <v>1554.79566581536</v>
      </c>
      <c r="N96" s="10" t="n">
        <f aca="false">L96+K96-(IF(L96&gt;0,PMT(Assumptions!$B$26/12,(Assumptions!$B$27*12+1-((YEAR(A96)-YEAR(Assumptions!$B$33))*12+MONTH(A96)-MONTH(Assumptions!$B$33))),-L96),0)-M96)</f>
        <v>1239977.4801318</v>
      </c>
    </row>
    <row r="97" customFormat="false" ht="15.75" hidden="false" customHeight="false" outlineLevel="0" collapsed="false">
      <c r="A97" s="6" t="n">
        <v>49157</v>
      </c>
      <c r="B97" s="8" t="n">
        <f aca="false">IF(A97&lt;Assumptions!$B$4,Assumptions!$B$3,Assumptions!$B$5)</f>
        <v>4500</v>
      </c>
      <c r="C97" s="8" t="n">
        <v>0</v>
      </c>
      <c r="D97" s="8" t="n">
        <f aca="false">IF(A97=Assumptions!$B$14,Assumptions!$B$13,IF(AND(A97&gt;Assumptions!$B$14,N(I96)&gt;0.5),Assumptions!$B$18,0))</f>
        <v>3062.26917357728</v>
      </c>
      <c r="E97" s="8" t="n">
        <f aca="false">IF(A97=Assumptions!$B$14,Assumptions!$B$10,IF(A97&gt;Assumptions!$B$14,D97-J97,0))</f>
        <v>1943.80697219137</v>
      </c>
      <c r="F97" s="8" t="n">
        <f aca="false">IF(A97=Assumptions!$B$25,Assumptions!$B$24,0)+IF(L97&gt;0,PMT(Assumptions!$B$26/12,(Assumptions!$B$27*12+1-((YEAR(A97)-YEAR(Assumptions!$B$33))*12+MONTH(A97)-MONTH(Assumptions!$B$33))),-L97),0)</f>
        <v>5413.84818630807</v>
      </c>
      <c r="G97" s="8" t="n">
        <f aca="false">IF(A97=Assumptions!$B$25,Assumptions!$B$23,0)+IF(L97&gt;0,PMT(Assumptions!$B$26/12,(Assumptions!$B$27*12+1-((YEAR(A97)-YEAR(Assumptions!$B$33))*12+MONTH(A97)-MONTH(Assumptions!$B$33))),-L97),0)-M97</f>
        <v>3863.87633614333</v>
      </c>
      <c r="H97" s="9" t="str">
        <f aca="false">IF(A97=Assumptions!$B$25,"Condo: OTP + S&amp;P + 25% equity paid",IF(A97=Assumptions!$B$14,"HDB: completion, downpayment paid",IFERROR("Condo: "&amp;INDEX(Assumptions!$A$33:$A$40,MATCH(A97,Assumptions!$B$33:$B$40,0)),"")))</f>
        <v/>
      </c>
      <c r="I97" s="10" t="n">
        <f aca="false">IF(A97=Assumptions!$B$14,Assumptions!$B$17,IF(A97&gt;Assumptions!$B$14,N(I96)-E97,0))</f>
        <v>514269.516744381</v>
      </c>
      <c r="J97" s="10" t="n">
        <f aca="false">IF(A97&gt;Assumptions!$B$14,N(I96)*Assumptions!$B$15/12,0)</f>
        <v>1118.46220138591</v>
      </c>
      <c r="K97" s="10" t="n">
        <f aca="false">SUMIFS(Assumptions!$D$33:$D$40,Assumptions!$B$33:$B$40,A97)</f>
        <v>0</v>
      </c>
      <c r="L97" s="10" t="n">
        <f aca="false">N(N96)</f>
        <v>1239977.4801318</v>
      </c>
      <c r="M97" s="10" t="n">
        <f aca="false">L97*Assumptions!$B$26/12</f>
        <v>1549.97185016474</v>
      </c>
      <c r="N97" s="10" t="n">
        <f aca="false">L97+K97-(IF(L97&gt;0,PMT(Assumptions!$B$26/12,(Assumptions!$B$27*12+1-((YEAR(A97)-YEAR(Assumptions!$B$33))*12+MONTH(A97)-MONTH(Assumptions!$B$33))),-L97),0)-M97)</f>
        <v>1236113.60379565</v>
      </c>
    </row>
    <row r="98" customFormat="false" ht="15.75" hidden="false" customHeight="false" outlineLevel="0" collapsed="false">
      <c r="A98" s="6" t="n">
        <v>49188</v>
      </c>
      <c r="B98" s="8" t="n">
        <f aca="false">IF(A98&lt;Assumptions!$B$4,Assumptions!$B$3,Assumptions!$B$5)</f>
        <v>4500</v>
      </c>
      <c r="C98" s="8" t="n">
        <v>0</v>
      </c>
      <c r="D98" s="8" t="n">
        <f aca="false">IF(A98=Assumptions!$B$14,Assumptions!$B$13,IF(AND(A98&gt;Assumptions!$B$14,N(I97)&gt;0.5),Assumptions!$B$18,0))</f>
        <v>3062.26917357728</v>
      </c>
      <c r="E98" s="8" t="n">
        <f aca="false">IF(A98=Assumptions!$B$14,Assumptions!$B$10,IF(A98&gt;Assumptions!$B$14,D98-J98,0))</f>
        <v>1948.01855396445</v>
      </c>
      <c r="F98" s="8" t="n">
        <f aca="false">IF(A98=Assumptions!$B$25,Assumptions!$B$24,0)+IF(L98&gt;0,PMT(Assumptions!$B$26/12,(Assumptions!$B$27*12+1-((YEAR(A98)-YEAR(Assumptions!$B$33))*12+MONTH(A98)-MONTH(Assumptions!$B$33))),-L98),0)</f>
        <v>5413.84818630807</v>
      </c>
      <c r="G98" s="8" t="n">
        <f aca="false">IF(A98=Assumptions!$B$25,Assumptions!$B$23,0)+IF(L98&gt;0,PMT(Assumptions!$B$26/12,(Assumptions!$B$27*12+1-((YEAR(A98)-YEAR(Assumptions!$B$33))*12+MONTH(A98)-MONTH(Assumptions!$B$33))),-L98),0)-M98</f>
        <v>3868.7061815635</v>
      </c>
      <c r="H98" s="9" t="str">
        <f aca="false">IF(A98=Assumptions!$B$25,"Condo: OTP + S&amp;P + 25% equity paid",IF(A98=Assumptions!$B$14,"HDB: completion, downpayment paid",IFERROR("Condo: "&amp;INDEX(Assumptions!$A$33:$A$40,MATCH(A98,Assumptions!$B$33:$B$40,0)),"")))</f>
        <v/>
      </c>
      <c r="I98" s="10" t="n">
        <f aca="false">IF(A98=Assumptions!$B$14,Assumptions!$B$17,IF(A98&gt;Assumptions!$B$14,N(I97)-E98,0))</f>
        <v>512321.498190417</v>
      </c>
      <c r="J98" s="10" t="n">
        <f aca="false">IF(A98&gt;Assumptions!$B$14,N(I97)*Assumptions!$B$15/12,0)</f>
        <v>1114.25061961283</v>
      </c>
      <c r="K98" s="10" t="n">
        <f aca="false">SUMIFS(Assumptions!$D$33:$D$40,Assumptions!$B$33:$B$40,A98)</f>
        <v>0</v>
      </c>
      <c r="L98" s="10" t="n">
        <f aca="false">N(N97)</f>
        <v>1236113.60379565</v>
      </c>
      <c r="M98" s="10" t="n">
        <f aca="false">L98*Assumptions!$B$26/12</f>
        <v>1545.14200474456</v>
      </c>
      <c r="N98" s="10" t="n">
        <f aca="false">L98+K98-(IF(L98&gt;0,PMT(Assumptions!$B$26/12,(Assumptions!$B$27*12+1-((YEAR(A98)-YEAR(Assumptions!$B$33))*12+MONTH(A98)-MONTH(Assumptions!$B$33))),-L98),0)-M98)</f>
        <v>1232244.89761409</v>
      </c>
    </row>
    <row r="99" customFormat="false" ht="15.75" hidden="false" customHeight="false" outlineLevel="0" collapsed="false">
      <c r="A99" s="6" t="n">
        <v>49218</v>
      </c>
      <c r="B99" s="8" t="n">
        <f aca="false">IF(A99&lt;Assumptions!$B$4,Assumptions!$B$3,Assumptions!$B$5)</f>
        <v>4500</v>
      </c>
      <c r="C99" s="8" t="n">
        <v>0</v>
      </c>
      <c r="D99" s="8" t="n">
        <f aca="false">IF(A99=Assumptions!$B$14,Assumptions!$B$13,IF(AND(A99&gt;Assumptions!$B$14,N(I98)&gt;0.5),Assumptions!$B$18,0))</f>
        <v>3062.26917357728</v>
      </c>
      <c r="E99" s="8" t="n">
        <f aca="false">IF(A99=Assumptions!$B$14,Assumptions!$B$10,IF(A99&gt;Assumptions!$B$14,D99-J99,0))</f>
        <v>1952.23926083138</v>
      </c>
      <c r="F99" s="8" t="n">
        <f aca="false">IF(A99=Assumptions!$B$25,Assumptions!$B$24,0)+IF(L99&gt;0,PMT(Assumptions!$B$26/12,(Assumptions!$B$27*12+1-((YEAR(A99)-YEAR(Assumptions!$B$33))*12+MONTH(A99)-MONTH(Assumptions!$B$33))),-L99),0)</f>
        <v>5413.84818630807</v>
      </c>
      <c r="G99" s="8" t="n">
        <f aca="false">IF(A99=Assumptions!$B$25,Assumptions!$B$23,0)+IF(L99&gt;0,PMT(Assumptions!$B$26/12,(Assumptions!$B$27*12+1-((YEAR(A99)-YEAR(Assumptions!$B$33))*12+MONTH(A99)-MONTH(Assumptions!$B$33))),-L99),0)-M99</f>
        <v>3873.54206429046</v>
      </c>
      <c r="H99" s="9" t="str">
        <f aca="false">IF(A99=Assumptions!$B$25,"Condo: OTP + S&amp;P + 25% equity paid",IF(A99=Assumptions!$B$14,"HDB: completion, downpayment paid",IFERROR("Condo: "&amp;INDEX(Assumptions!$A$33:$A$40,MATCH(A99,Assumptions!$B$33:$B$40,0)),"")))</f>
        <v/>
      </c>
      <c r="I99" s="10" t="n">
        <f aca="false">IF(A99=Assumptions!$B$14,Assumptions!$B$17,IF(A99&gt;Assumptions!$B$14,N(I98)-E99,0))</f>
        <v>510369.258929586</v>
      </c>
      <c r="J99" s="10" t="n">
        <f aca="false">IF(A99&gt;Assumptions!$B$14,N(I98)*Assumptions!$B$15/12,0)</f>
        <v>1110.0299127459</v>
      </c>
      <c r="K99" s="10" t="n">
        <f aca="false">SUMIFS(Assumptions!$D$33:$D$40,Assumptions!$B$33:$B$40,A99)</f>
        <v>0</v>
      </c>
      <c r="L99" s="10" t="n">
        <f aca="false">N(N98)</f>
        <v>1232244.89761409</v>
      </c>
      <c r="M99" s="10" t="n">
        <f aca="false">L99*Assumptions!$B$26/12</f>
        <v>1540.30612201761</v>
      </c>
      <c r="N99" s="10" t="n">
        <f aca="false">L99+K99-(IF(L99&gt;0,PMT(Assumptions!$B$26/12,(Assumptions!$B$27*12+1-((YEAR(A99)-YEAR(Assumptions!$B$33))*12+MONTH(A99)-MONTH(Assumptions!$B$33))),-L99),0)-M99)</f>
        <v>1228371.3555498</v>
      </c>
    </row>
    <row r="100" customFormat="false" ht="15.75" hidden="false" customHeight="false" outlineLevel="0" collapsed="false">
      <c r="A100" s="6" t="n">
        <v>49249</v>
      </c>
      <c r="B100" s="8" t="n">
        <f aca="false">IF(A100&lt;Assumptions!$B$4,Assumptions!$B$3,Assumptions!$B$5)</f>
        <v>4500</v>
      </c>
      <c r="C100" s="8" t="n">
        <v>0</v>
      </c>
      <c r="D100" s="8" t="n">
        <f aca="false">IF(A100=Assumptions!$B$14,Assumptions!$B$13,IF(AND(A100&gt;Assumptions!$B$14,N(I99)&gt;0.5),Assumptions!$B$18,0))</f>
        <v>3062.26917357728</v>
      </c>
      <c r="E100" s="8" t="n">
        <f aca="false">IF(A100=Assumptions!$B$14,Assumptions!$B$10,IF(A100&gt;Assumptions!$B$14,D100-J100,0))</f>
        <v>1956.46911256318</v>
      </c>
      <c r="F100" s="8" t="n">
        <f aca="false">IF(A100=Assumptions!$B$25,Assumptions!$B$24,0)+IF(L100&gt;0,PMT(Assumptions!$B$26/12,(Assumptions!$B$27*12+1-((YEAR(A100)-YEAR(Assumptions!$B$33))*12+MONTH(A100)-MONTH(Assumptions!$B$33))),-L100),0)</f>
        <v>5413.84818630807</v>
      </c>
      <c r="G100" s="8" t="n">
        <f aca="false">IF(A100=Assumptions!$B$25,Assumptions!$B$23,0)+IF(L100&gt;0,PMT(Assumptions!$B$26/12,(Assumptions!$B$27*12+1-((YEAR(A100)-YEAR(Assumptions!$B$33))*12+MONTH(A100)-MONTH(Assumptions!$B$33))),-L100),0)-M100</f>
        <v>3878.38399187082</v>
      </c>
      <c r="H100" s="9" t="str">
        <f aca="false">IF(A100=Assumptions!$B$25,"Condo: OTP + S&amp;P + 25% equity paid",IF(A100=Assumptions!$B$14,"HDB: completion, downpayment paid",IFERROR("Condo: "&amp;INDEX(Assumptions!$A$33:$A$40,MATCH(A100,Assumptions!$B$33:$B$40,0)),"")))</f>
        <v/>
      </c>
      <c r="I100" s="10" t="n">
        <f aca="false">IF(A100=Assumptions!$B$14,Assumptions!$B$17,IF(A100&gt;Assumptions!$B$14,N(I99)-E100,0))</f>
        <v>508412.789817022</v>
      </c>
      <c r="J100" s="10" t="n">
        <f aca="false">IF(A100&gt;Assumptions!$B$14,N(I99)*Assumptions!$B$15/12,0)</f>
        <v>1105.8000610141</v>
      </c>
      <c r="K100" s="10" t="n">
        <f aca="false">SUMIFS(Assumptions!$D$33:$D$40,Assumptions!$B$33:$B$40,A100)</f>
        <v>0</v>
      </c>
      <c r="L100" s="10" t="n">
        <f aca="false">N(N99)</f>
        <v>1228371.3555498</v>
      </c>
      <c r="M100" s="10" t="n">
        <f aca="false">L100*Assumptions!$B$26/12</f>
        <v>1535.46419443725</v>
      </c>
      <c r="N100" s="10" t="n">
        <f aca="false">L100+K100-(IF(L100&gt;0,PMT(Assumptions!$B$26/12,(Assumptions!$B$27*12+1-((YEAR(A100)-YEAR(Assumptions!$B$33))*12+MONTH(A100)-MONTH(Assumptions!$B$33))),-L100),0)-M100)</f>
        <v>1224492.97155793</v>
      </c>
    </row>
    <row r="101" customFormat="false" ht="15.75" hidden="false" customHeight="false" outlineLevel="0" collapsed="false">
      <c r="A101" s="6" t="n">
        <v>49279</v>
      </c>
      <c r="B101" s="8" t="n">
        <f aca="false">IF(A101&lt;Assumptions!$B$4,Assumptions!$B$3,Assumptions!$B$5)</f>
        <v>4500</v>
      </c>
      <c r="C101" s="8" t="n">
        <v>0</v>
      </c>
      <c r="D101" s="8" t="n">
        <f aca="false">IF(A101=Assumptions!$B$14,Assumptions!$B$13,IF(AND(A101&gt;Assumptions!$B$14,N(I100)&gt;0.5),Assumptions!$B$18,0))</f>
        <v>3062.26917357728</v>
      </c>
      <c r="E101" s="8" t="n">
        <f aca="false">IF(A101=Assumptions!$B$14,Assumptions!$B$10,IF(A101&gt;Assumptions!$B$14,D101-J101,0))</f>
        <v>1960.70812897373</v>
      </c>
      <c r="F101" s="8" t="n">
        <f aca="false">IF(A101=Assumptions!$B$25,Assumptions!$B$24,0)+IF(L101&gt;0,PMT(Assumptions!$B$26/12,(Assumptions!$B$27*12+1-((YEAR(A101)-YEAR(Assumptions!$B$33))*12+MONTH(A101)-MONTH(Assumptions!$B$33))),-L101),0)</f>
        <v>5413.84818630807</v>
      </c>
      <c r="G101" s="8" t="n">
        <f aca="false">IF(A101=Assumptions!$B$25,Assumptions!$B$23,0)+IF(L101&gt;0,PMT(Assumptions!$B$26/12,(Assumptions!$B$27*12+1-((YEAR(A101)-YEAR(Assumptions!$B$33))*12+MONTH(A101)-MONTH(Assumptions!$B$33))),-L101),0)-M101</f>
        <v>3883.23197186066</v>
      </c>
      <c r="H101" s="9" t="str">
        <f aca="false">IF(A101=Assumptions!$B$25,"Condo: OTP + S&amp;P + 25% equity paid",IF(A101=Assumptions!$B$14,"HDB: completion, downpayment paid",IFERROR("Condo: "&amp;INDEX(Assumptions!$A$33:$A$40,MATCH(A101,Assumptions!$B$33:$B$40,0)),"")))</f>
        <v/>
      </c>
      <c r="I101" s="10" t="n">
        <f aca="false">IF(A101=Assumptions!$B$14,Assumptions!$B$17,IF(A101&gt;Assumptions!$B$14,N(I100)-E101,0))</f>
        <v>506452.081688049</v>
      </c>
      <c r="J101" s="10" t="n">
        <f aca="false">IF(A101&gt;Assumptions!$B$14,N(I100)*Assumptions!$B$15/12,0)</f>
        <v>1101.56104460355</v>
      </c>
      <c r="K101" s="10" t="n">
        <f aca="false">SUMIFS(Assumptions!$D$33:$D$40,Assumptions!$B$33:$B$40,A101)</f>
        <v>0</v>
      </c>
      <c r="L101" s="10" t="n">
        <f aca="false">N(N100)</f>
        <v>1224492.97155793</v>
      </c>
      <c r="M101" s="10" t="n">
        <f aca="false">L101*Assumptions!$B$26/12</f>
        <v>1530.61621444741</v>
      </c>
      <c r="N101" s="10" t="n">
        <f aca="false">L101+K101-(IF(L101&gt;0,PMT(Assumptions!$B$26/12,(Assumptions!$B$27*12+1-((YEAR(A101)-YEAR(Assumptions!$B$33))*12+MONTH(A101)-MONTH(Assumptions!$B$33))),-L101),0)-M101)</f>
        <v>1220609.73958607</v>
      </c>
    </row>
    <row r="102" customFormat="false" ht="15.75" hidden="false" customHeight="false" outlineLevel="0" collapsed="false">
      <c r="A102" s="11" t="n">
        <v>49310</v>
      </c>
      <c r="B102" s="8" t="n">
        <f aca="false">IF(A102&lt;Assumptions!$B$4,Assumptions!$B$3,Assumptions!$B$5)</f>
        <v>4500</v>
      </c>
      <c r="C102" s="8" t="n">
        <v>0</v>
      </c>
      <c r="D102" s="8" t="n">
        <f aca="false">IF(A102=Assumptions!$B$14,Assumptions!$B$13,IF(AND(A102&gt;Assumptions!$B$14,N(I101)&gt;0.5),Assumptions!$B$18,0))</f>
        <v>3062.26917357728</v>
      </c>
      <c r="E102" s="8" t="n">
        <f aca="false">IF(A102=Assumptions!$B$14,Assumptions!$B$10,IF(A102&gt;Assumptions!$B$14,D102-J102,0))</f>
        <v>1964.95632991984</v>
      </c>
      <c r="F102" s="8" t="n">
        <f aca="false">IF(A102=Assumptions!$B$25,Assumptions!$B$24,0)+IF(L102&gt;0,PMT(Assumptions!$B$26/12,(Assumptions!$B$27*12+1-((YEAR(A102)-YEAR(Assumptions!$B$33))*12+MONTH(A102)-MONTH(Assumptions!$B$33))),-L102),0)</f>
        <v>5413.84818630807</v>
      </c>
      <c r="G102" s="8" t="n">
        <f aca="false">IF(A102=Assumptions!$B$25,Assumptions!$B$23,0)+IF(L102&gt;0,PMT(Assumptions!$B$26/12,(Assumptions!$B$27*12+1-((YEAR(A102)-YEAR(Assumptions!$B$33))*12+MONTH(A102)-MONTH(Assumptions!$B$33))),-L102),0)-M102</f>
        <v>3888.08601182549</v>
      </c>
      <c r="H102" s="9" t="str">
        <f aca="false">IF(A102=Assumptions!$B$25,"Condo: OTP + S&amp;P + 25% equity paid",IF(A102=Assumptions!$B$14,"HDB: completion, downpayment paid",IFERROR("Condo: "&amp;INDEX(Assumptions!$A$33:$A$40,MATCH(A102,Assumptions!$B$33:$B$40,0)),"")))</f>
        <v/>
      </c>
      <c r="I102" s="10" t="n">
        <f aca="false">IF(A102=Assumptions!$B$14,Assumptions!$B$17,IF(A102&gt;Assumptions!$B$14,N(I101)-E102,0))</f>
        <v>504487.125358129</v>
      </c>
      <c r="J102" s="10" t="n">
        <f aca="false">IF(A102&gt;Assumptions!$B$14,N(I101)*Assumptions!$B$15/12,0)</f>
        <v>1097.31284365744</v>
      </c>
      <c r="K102" s="10" t="n">
        <f aca="false">SUMIFS(Assumptions!$D$33:$D$40,Assumptions!$B$33:$B$40,A102)</f>
        <v>0</v>
      </c>
      <c r="L102" s="10" t="n">
        <f aca="false">N(N101)</f>
        <v>1220609.73958607</v>
      </c>
      <c r="M102" s="10" t="n">
        <f aca="false">L102*Assumptions!$B$26/12</f>
        <v>1525.76217448258</v>
      </c>
      <c r="N102" s="10" t="n">
        <f aca="false">L102+K102-(IF(L102&gt;0,PMT(Assumptions!$B$26/12,(Assumptions!$B$27*12+1-((YEAR(A102)-YEAR(Assumptions!$B$33))*12+MONTH(A102)-MONTH(Assumptions!$B$33))),-L102),0)-M102)</f>
        <v>1216721.65357424</v>
      </c>
    </row>
    <row r="103" customFormat="false" ht="15.75" hidden="false" customHeight="false" outlineLevel="0" collapsed="false">
      <c r="A103" s="9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  <c r="N103" s="8"/>
    </row>
    <row r="104" customFormat="false" ht="15.75" hidden="false" customHeight="false" outlineLevel="0" collapsed="false">
      <c r="A104" s="12" t="s">
        <v>13</v>
      </c>
      <c r="B104" s="13"/>
      <c r="C104" s="13"/>
      <c r="D104" s="13"/>
      <c r="E104" s="13"/>
      <c r="F104" s="13"/>
      <c r="G104" s="13"/>
      <c r="H104" s="12"/>
      <c r="I104" s="13"/>
      <c r="J104" s="13"/>
      <c r="K104" s="13"/>
      <c r="L104" s="13"/>
      <c r="M104" s="13"/>
      <c r="N104" s="13"/>
    </row>
    <row r="105" customFormat="false" ht="15.75" hidden="false" customHeight="false" outlineLevel="0" collapsed="false">
      <c r="A105" s="9" t="s">
        <v>14</v>
      </c>
      <c r="B105" s="8" t="n">
        <f aca="false">SUM(B3:B102)</f>
        <v>352500</v>
      </c>
      <c r="C105" s="8"/>
      <c r="D105" s="8" t="n">
        <f aca="false">SUM(D3:D102)</f>
        <v>543577.840663419</v>
      </c>
      <c r="E105" s="8"/>
      <c r="F105" s="8" t="n">
        <f aca="false">SUM(F3:F102)</f>
        <v>955790.225577023</v>
      </c>
      <c r="G105" s="8"/>
      <c r="H105" s="9"/>
      <c r="I105" s="8"/>
      <c r="J105" s="8"/>
      <c r="K105" s="8"/>
      <c r="L105" s="8"/>
      <c r="M105" s="8"/>
      <c r="N105" s="8"/>
    </row>
    <row r="106" customFormat="false" ht="15.75" hidden="false" customHeight="false" outlineLevel="0" collapsed="false">
      <c r="A106" s="9" t="s">
        <v>15</v>
      </c>
      <c r="B106" s="8" t="n">
        <f aca="false">SUM(C3:C102)</f>
        <v>0</v>
      </c>
      <c r="C106" s="8"/>
      <c r="D106" s="8" t="n">
        <f aca="false">SUM(E3:E102)</f>
        <v>395512.874641871</v>
      </c>
      <c r="E106" s="8"/>
      <c r="F106" s="8" t="n">
        <f aca="false">SUM(G3:G102)</f>
        <v>763278.346425758</v>
      </c>
      <c r="G106" s="8"/>
      <c r="H106" s="9"/>
      <c r="I106" s="8"/>
      <c r="J106" s="8"/>
      <c r="K106" s="8"/>
      <c r="L106" s="8"/>
      <c r="M106" s="8"/>
      <c r="N106" s="8"/>
    </row>
    <row r="107" customFormat="false" ht="15.75" hidden="false" customHeight="false" outlineLevel="0" collapsed="false">
      <c r="A107" s="9" t="s">
        <v>16</v>
      </c>
      <c r="B107" s="14" t="n">
        <f aca="false">SUM(B3:B102)-SUM(C3:C102)</f>
        <v>352500</v>
      </c>
      <c r="C107" s="8"/>
      <c r="D107" s="14" t="n">
        <f aca="false">SUM(D3:D102)-SUM(E3:E102)</f>
        <v>148064.966021548</v>
      </c>
      <c r="E107" s="8"/>
      <c r="F107" s="14" t="n">
        <f aca="false">SUM(F3:F102)-SUM(G3:G102)</f>
        <v>192511.879151265</v>
      </c>
      <c r="G107" s="8"/>
      <c r="H107" s="9"/>
      <c r="I107" s="8"/>
      <c r="J107" s="8"/>
      <c r="K107" s="8"/>
      <c r="L107" s="8"/>
      <c r="M107" s="8"/>
      <c r="N107" s="8"/>
    </row>
    <row r="108" customFormat="false" ht="15.75" hidden="false" customHeight="false" outlineLevel="0" collapsed="false">
      <c r="A108" s="9" t="s">
        <v>17</v>
      </c>
      <c r="B108" s="8" t="n">
        <f aca="false">SUMIFS(B3:B102,$A$3:$A$102,"&lt;="&amp;DATE(2032,1,1))</f>
        <v>190500</v>
      </c>
      <c r="C108" s="8"/>
      <c r="D108" s="8" t="n">
        <f aca="false">SUMIFS(D3:D102,$A$3:$A$102,"&lt;="&amp;DATE(2032,1,1))</f>
        <v>433336.150414637</v>
      </c>
      <c r="E108" s="8"/>
      <c r="F108" s="8" t="n">
        <f aca="false">SUMIFS(F3:F102,$A$3:$A$102,"&lt;="&amp;DATE(2032,1,1))</f>
        <v>760891.690869933</v>
      </c>
      <c r="G108" s="8"/>
      <c r="H108" s="9"/>
      <c r="I108" s="8"/>
      <c r="J108" s="8"/>
      <c r="K108" s="8"/>
      <c r="L108" s="8"/>
      <c r="M108" s="8"/>
      <c r="N108" s="8"/>
    </row>
    <row r="109" customFormat="false" ht="15.75" hidden="false" customHeight="false" outlineLevel="0" collapsed="false">
      <c r="A109" s="9" t="s">
        <v>18</v>
      </c>
      <c r="B109" s="8" t="n">
        <f aca="false">SUMIFS(C3:C102,$A$3:$A$102,"&lt;="&amp;DATE(2032,1,1))</f>
        <v>0</v>
      </c>
      <c r="C109" s="8"/>
      <c r="D109" s="8" t="n">
        <f aca="false">SUMIFS(E3:E102,$A$3:$A$102,"&lt;="&amp;DATE(2032,1,1))</f>
        <v>327386.389436803</v>
      </c>
      <c r="E109" s="8"/>
      <c r="F109" s="8" t="n">
        <f aca="false">SUMIFS(G3:G102,$A$3:$A$102,"&lt;="&amp;DATE(2032,1,1))</f>
        <v>626322.469065071</v>
      </c>
      <c r="G109" s="8"/>
      <c r="H109" s="9"/>
      <c r="I109" s="8"/>
      <c r="J109" s="8"/>
      <c r="K109" s="8"/>
      <c r="L109" s="8"/>
      <c r="M109" s="8"/>
      <c r="N109" s="8"/>
    </row>
    <row r="110" customFormat="false" ht="15.75" hidden="false" customHeight="false" outlineLevel="0" collapsed="false">
      <c r="A110" s="9" t="s">
        <v>19</v>
      </c>
      <c r="B110" s="14" t="n">
        <f aca="false">SUMIFS(B3:B102,$A$3:$A$102,"&lt;="&amp;DATE(2032,1,1))-SUMIFS(C3:C102,$A$3:$A$102,"&lt;="&amp;DATE(2032,1,1))</f>
        <v>190500</v>
      </c>
      <c r="C110" s="8"/>
      <c r="D110" s="14" t="n">
        <f aca="false">SUMIFS(D3:D102,$A$3:$A$102,"&lt;="&amp;DATE(2032,1,1))-SUMIFS(E3:E102,$A$3:$A$102,"&lt;="&amp;DATE(2032,1,1))</f>
        <v>105949.760977834</v>
      </c>
      <c r="E110" s="8"/>
      <c r="F110" s="14" t="n">
        <f aca="false">SUMIFS(F3:F102,$A$3:$A$102,"&lt;="&amp;DATE(2032,1,1))-SUMIFS(G3:G102,$A$3:$A$102,"&lt;="&amp;DATE(2032,1,1))</f>
        <v>134569.221804861</v>
      </c>
      <c r="G110" s="8"/>
      <c r="H110" s="9"/>
      <c r="I110" s="8"/>
      <c r="J110" s="8"/>
      <c r="K110" s="8"/>
      <c r="L110" s="8"/>
      <c r="M110" s="8"/>
      <c r="N110" s="8"/>
    </row>
    <row r="111" customFormat="false" ht="15.75" hidden="false" customHeight="false" outlineLevel="0" collapsed="false">
      <c r="A111" s="9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  <c r="N111" s="8"/>
    </row>
    <row r="112" customFormat="false" ht="15.75" hidden="false" customHeight="false" outlineLevel="0" collapsed="false">
      <c r="A112" s="9" t="s">
        <v>20</v>
      </c>
      <c r="B112" s="8"/>
      <c r="C112" s="8"/>
      <c r="D112" s="8" t="n">
        <f aca="false">I102</f>
        <v>504487.125358129</v>
      </c>
      <c r="E112" s="8"/>
      <c r="F112" s="8" t="n">
        <f aca="false">N102</f>
        <v>1216721.65357424</v>
      </c>
      <c r="G112" s="8"/>
      <c r="H112" s="9"/>
      <c r="I112" s="8"/>
      <c r="J112" s="8"/>
      <c r="K112" s="8"/>
      <c r="L112" s="8"/>
      <c r="M112" s="8"/>
      <c r="N112" s="8"/>
    </row>
  </sheetData>
  <mergeCells count="3">
    <mergeCell ref="B1:C1"/>
    <mergeCell ref="D1:E1"/>
    <mergeCell ref="F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5" t="s">
        <v>21</v>
      </c>
    </row>
    <row r="2" customFormat="false" ht="15" hidden="false" customHeight="false" outlineLevel="0" collapsed="false">
      <c r="A2" s="16" t="s">
        <v>0</v>
      </c>
    </row>
    <row r="3" customFormat="false" ht="15" hidden="false" customHeight="false" outlineLevel="0" collapsed="false">
      <c r="A3" s="17" t="s">
        <v>22</v>
      </c>
      <c r="B3" s="18" t="n">
        <v>2000</v>
      </c>
      <c r="C3" s="19" t="s">
        <v>23</v>
      </c>
    </row>
    <row r="4" customFormat="false" ht="15" hidden="false" customHeight="false" outlineLevel="0" collapsed="false">
      <c r="A4" s="17" t="s">
        <v>24</v>
      </c>
      <c r="B4" s="20" t="n">
        <v>47484</v>
      </c>
      <c r="C4" s="19" t="s">
        <v>25</v>
      </c>
    </row>
    <row r="5" customFormat="false" ht="15" hidden="false" customHeight="false" outlineLevel="0" collapsed="false">
      <c r="A5" s="17" t="s">
        <v>26</v>
      </c>
      <c r="B5" s="18" t="n">
        <v>4500</v>
      </c>
      <c r="C5" s="19" t="s">
        <v>23</v>
      </c>
    </row>
    <row r="7" customFormat="false" ht="15" hidden="false" customHeight="false" outlineLevel="0" collapsed="false">
      <c r="A7" s="16" t="s">
        <v>27</v>
      </c>
    </row>
    <row r="8" customFormat="false" ht="15" hidden="false" customHeight="false" outlineLevel="0" collapsed="false">
      <c r="A8" s="17" t="s">
        <v>28</v>
      </c>
      <c r="B8" s="18" t="n">
        <v>900000</v>
      </c>
      <c r="C8" s="19" t="s">
        <v>23</v>
      </c>
    </row>
    <row r="9" customFormat="false" ht="15" hidden="false" customHeight="false" outlineLevel="0" collapsed="false">
      <c r="A9" s="17" t="s">
        <v>29</v>
      </c>
      <c r="B9" s="21" t="n">
        <v>0.75</v>
      </c>
      <c r="C9" s="19" t="s">
        <v>30</v>
      </c>
    </row>
    <row r="10" customFormat="false" ht="15" hidden="false" customHeight="false" outlineLevel="0" collapsed="false">
      <c r="A10" s="17" t="s">
        <v>31</v>
      </c>
      <c r="B10" s="22" t="n">
        <f aca="false">B8*(1-B9)</f>
        <v>225000</v>
      </c>
    </row>
    <row r="11" customFormat="false" ht="15" hidden="false" customHeight="false" outlineLevel="0" collapsed="false">
      <c r="A11" s="17" t="s">
        <v>32</v>
      </c>
      <c r="B11" s="18" t="n">
        <v>21600</v>
      </c>
      <c r="C11" s="19" t="s">
        <v>33</v>
      </c>
    </row>
    <row r="12" customFormat="false" ht="15" hidden="false" customHeight="false" outlineLevel="0" collapsed="false">
      <c r="A12" s="17" t="s">
        <v>34</v>
      </c>
      <c r="B12" s="18" t="n">
        <v>3000</v>
      </c>
      <c r="C12" s="19" t="s">
        <v>35</v>
      </c>
    </row>
    <row r="13" customFormat="false" ht="15" hidden="false" customHeight="false" outlineLevel="0" collapsed="false">
      <c r="A13" s="17" t="s">
        <v>36</v>
      </c>
      <c r="B13" s="22" t="n">
        <f aca="false">B10+B11+B12</f>
        <v>249600</v>
      </c>
    </row>
    <row r="14" customFormat="false" ht="15" hidden="false" customHeight="false" outlineLevel="0" collapsed="false">
      <c r="A14" s="17" t="s">
        <v>37</v>
      </c>
      <c r="B14" s="20" t="n">
        <v>46388</v>
      </c>
      <c r="C14" s="19" t="s">
        <v>38</v>
      </c>
    </row>
    <row r="15" customFormat="false" ht="15" hidden="false" customHeight="false" outlineLevel="0" collapsed="false">
      <c r="A15" s="17" t="s">
        <v>39</v>
      </c>
      <c r="B15" s="21" t="n">
        <v>0.026</v>
      </c>
      <c r="C15" s="19" t="s">
        <v>40</v>
      </c>
    </row>
    <row r="16" customFormat="false" ht="15" hidden="false" customHeight="false" outlineLevel="0" collapsed="false">
      <c r="A16" s="17" t="s">
        <v>41</v>
      </c>
      <c r="B16" s="23" t="n">
        <v>25</v>
      </c>
    </row>
    <row r="17" customFormat="false" ht="15" hidden="false" customHeight="false" outlineLevel="0" collapsed="false">
      <c r="A17" s="17" t="s">
        <v>42</v>
      </c>
      <c r="B17" s="22" t="n">
        <f aca="false">B8*B9</f>
        <v>675000</v>
      </c>
    </row>
    <row r="18" customFormat="false" ht="15" hidden="false" customHeight="false" outlineLevel="0" collapsed="false">
      <c r="A18" s="17" t="s">
        <v>43</v>
      </c>
      <c r="B18" s="22" t="n">
        <f aca="false">PMT(B15/12,B16*12,-B17)</f>
        <v>3062.26917357728</v>
      </c>
      <c r="C18" s="19" t="s">
        <v>44</v>
      </c>
    </row>
    <row r="20" customFormat="false" ht="15" hidden="false" customHeight="false" outlineLevel="0" collapsed="false">
      <c r="A20" s="16" t="s">
        <v>45</v>
      </c>
    </row>
    <row r="21" customFormat="false" ht="15" hidden="false" customHeight="false" outlineLevel="0" collapsed="false">
      <c r="A21" s="17" t="s">
        <v>28</v>
      </c>
      <c r="B21" s="18" t="n">
        <v>1980000</v>
      </c>
      <c r="C21" s="19" t="s">
        <v>23</v>
      </c>
    </row>
    <row r="22" customFormat="false" ht="15" hidden="false" customHeight="false" outlineLevel="0" collapsed="false">
      <c r="A22" s="17" t="s">
        <v>29</v>
      </c>
      <c r="B22" s="21" t="n">
        <v>0.75</v>
      </c>
      <c r="C22" s="19" t="s">
        <v>46</v>
      </c>
    </row>
    <row r="23" customFormat="false" ht="15" hidden="false" customHeight="false" outlineLevel="0" collapsed="false">
      <c r="A23" s="17" t="s">
        <v>47</v>
      </c>
      <c r="B23" s="22" t="n">
        <f aca="false">B21*(1-B22)</f>
        <v>495000</v>
      </c>
      <c r="C23" s="19" t="s">
        <v>48</v>
      </c>
    </row>
    <row r="24" customFormat="false" ht="15" hidden="false" customHeight="false" outlineLevel="0" collapsed="false">
      <c r="A24" s="17" t="s">
        <v>49</v>
      </c>
      <c r="B24" s="18" t="n">
        <v>565000</v>
      </c>
      <c r="C24" s="19" t="s">
        <v>50</v>
      </c>
    </row>
    <row r="25" customFormat="false" ht="15" hidden="false" customHeight="false" outlineLevel="0" collapsed="false">
      <c r="A25" s="17" t="s">
        <v>51</v>
      </c>
      <c r="B25" s="20" t="n">
        <v>46296</v>
      </c>
      <c r="C25" s="19" t="s">
        <v>52</v>
      </c>
    </row>
    <row r="26" customFormat="false" ht="15" hidden="false" customHeight="false" outlineLevel="0" collapsed="false">
      <c r="A26" s="17" t="s">
        <v>53</v>
      </c>
      <c r="B26" s="21" t="n">
        <v>0.015</v>
      </c>
      <c r="C26" s="19" t="s">
        <v>54</v>
      </c>
    </row>
    <row r="27" customFormat="false" ht="15" hidden="false" customHeight="false" outlineLevel="0" collapsed="false">
      <c r="A27" s="17" t="s">
        <v>55</v>
      </c>
      <c r="B27" s="23" t="n">
        <v>30</v>
      </c>
    </row>
    <row r="28" customFormat="false" ht="15" hidden="false" customHeight="false" outlineLevel="0" collapsed="false">
      <c r="A28" s="17" t="s">
        <v>42</v>
      </c>
      <c r="B28" s="22" t="n">
        <f aca="false">B21*B22</f>
        <v>1485000</v>
      </c>
    </row>
    <row r="29" customFormat="false" ht="15" hidden="false" customHeight="false" outlineLevel="0" collapsed="false">
      <c r="A29" s="17" t="s">
        <v>56</v>
      </c>
      <c r="B29" s="22" t="n">
        <f aca="false">B24-B23</f>
        <v>70000</v>
      </c>
    </row>
    <row r="31" customFormat="false" ht="15" hidden="false" customHeight="false" outlineLevel="0" collapsed="false">
      <c r="A31" s="16" t="s">
        <v>57</v>
      </c>
    </row>
    <row r="32" customFormat="false" ht="15" hidden="false" customHeight="false" outlineLevel="0" collapsed="false">
      <c r="A32" s="15" t="s">
        <v>58</v>
      </c>
      <c r="B32" s="15" t="s">
        <v>59</v>
      </c>
      <c r="C32" s="15" t="s">
        <v>60</v>
      </c>
      <c r="D32" s="15" t="s">
        <v>61</v>
      </c>
    </row>
    <row r="33" customFormat="false" ht="15" hidden="false" customHeight="false" outlineLevel="0" collapsed="false">
      <c r="A33" s="17" t="s">
        <v>62</v>
      </c>
      <c r="B33" s="20" t="n">
        <v>46388</v>
      </c>
      <c r="C33" s="24" t="n">
        <v>0.05</v>
      </c>
      <c r="D33" s="22" t="n">
        <f aca="false">C33*$B$21</f>
        <v>99000</v>
      </c>
    </row>
    <row r="34" customFormat="false" ht="15" hidden="false" customHeight="false" outlineLevel="0" collapsed="false">
      <c r="A34" s="17" t="s">
        <v>63</v>
      </c>
      <c r="B34" s="20" t="n">
        <v>46692</v>
      </c>
      <c r="C34" s="24" t="n">
        <v>0.1</v>
      </c>
      <c r="D34" s="22" t="n">
        <f aca="false">C34*$B$21</f>
        <v>198000</v>
      </c>
    </row>
    <row r="35" customFormat="false" ht="15" hidden="false" customHeight="false" outlineLevel="0" collapsed="false">
      <c r="A35" s="17" t="s">
        <v>64</v>
      </c>
      <c r="B35" s="20" t="n">
        <v>46844</v>
      </c>
      <c r="C35" s="24" t="n">
        <v>0.05</v>
      </c>
      <c r="D35" s="22" t="n">
        <f aca="false">C35*$B$21</f>
        <v>99000</v>
      </c>
    </row>
    <row r="36" customFormat="false" ht="15" hidden="false" customHeight="false" outlineLevel="0" collapsed="false">
      <c r="A36" s="17" t="s">
        <v>65</v>
      </c>
      <c r="B36" s="20" t="n">
        <v>46966</v>
      </c>
      <c r="C36" s="24" t="n">
        <v>0.05</v>
      </c>
      <c r="D36" s="22" t="n">
        <f aca="false">C36*$B$21</f>
        <v>99000</v>
      </c>
    </row>
    <row r="37" customFormat="false" ht="15" hidden="false" customHeight="false" outlineLevel="0" collapsed="false">
      <c r="A37" s="17" t="s">
        <v>66</v>
      </c>
      <c r="B37" s="20" t="n">
        <v>47058</v>
      </c>
      <c r="C37" s="24" t="n">
        <v>0.05</v>
      </c>
      <c r="D37" s="22" t="n">
        <f aca="false">C37*$B$21</f>
        <v>99000</v>
      </c>
    </row>
    <row r="38" customFormat="false" ht="15" hidden="false" customHeight="false" outlineLevel="0" collapsed="false">
      <c r="A38" s="17" t="s">
        <v>67</v>
      </c>
      <c r="B38" s="20" t="n">
        <v>47150</v>
      </c>
      <c r="C38" s="24" t="n">
        <v>0.05</v>
      </c>
      <c r="D38" s="22" t="n">
        <f aca="false">C38*$B$21</f>
        <v>99000</v>
      </c>
    </row>
    <row r="39" customFormat="false" ht="15" hidden="false" customHeight="false" outlineLevel="0" collapsed="false">
      <c r="A39" s="17" t="s">
        <v>68</v>
      </c>
      <c r="B39" s="20" t="n">
        <v>47209</v>
      </c>
      <c r="C39" s="24" t="n">
        <v>0.25</v>
      </c>
      <c r="D39" s="22" t="n">
        <f aca="false">C39*$B$21</f>
        <v>495000</v>
      </c>
    </row>
    <row r="40" customFormat="false" ht="15" hidden="false" customHeight="false" outlineLevel="0" collapsed="false">
      <c r="A40" s="17" t="s">
        <v>69</v>
      </c>
      <c r="B40" s="20" t="n">
        <v>47574</v>
      </c>
      <c r="C40" s="24" t="n">
        <v>0.15</v>
      </c>
      <c r="D40" s="22" t="n">
        <f aca="false">C40*$B$21</f>
        <v>297000</v>
      </c>
    </row>
    <row r="41" customFormat="false" ht="15" hidden="false" customHeight="false" outlineLevel="0" collapsed="false">
      <c r="A41" s="15" t="s">
        <v>70</v>
      </c>
      <c r="C41" s="25" t="n">
        <f aca="false">SUM(C33:C40)</f>
        <v>0.75</v>
      </c>
      <c r="D41" s="26" t="n">
        <f aca="false">SUM(D33:D40)</f>
        <v>1485000</v>
      </c>
    </row>
    <row r="43" customFormat="false" ht="15" hidden="false" customHeight="false" outlineLevel="0" collapsed="false">
      <c r="A43" s="15" t="s">
        <v>71</v>
      </c>
    </row>
    <row r="44" customFormat="false" ht="15" hidden="false" customHeight="false" outlineLevel="0" collapsed="false">
      <c r="A44" s="17" t="s">
        <v>72</v>
      </c>
    </row>
    <row r="45" customFormat="false" ht="15" hidden="false" customHeight="false" outlineLevel="0" collapsed="false">
      <c r="A45" s="17" t="s">
        <v>73</v>
      </c>
    </row>
    <row r="46" customFormat="false" ht="15" hidden="false" customHeight="false" outlineLevel="0" collapsed="false">
      <c r="A46" s="17" t="s">
        <v>74</v>
      </c>
    </row>
    <row r="47" customFormat="false" ht="15" hidden="false" customHeight="false" outlineLevel="0" collapsed="false">
      <c r="A47" s="17" t="s">
        <v>75</v>
      </c>
    </row>
    <row r="48" customFormat="false" ht="15" hidden="false" customHeight="false" outlineLevel="0" collapsed="false">
      <c r="A48" s="17" t="s">
        <v>76</v>
      </c>
    </row>
    <row r="49" customFormat="false" ht="15" hidden="false" customHeight="false" outlineLevel="0" collapsed="false">
      <c r="A49" s="1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2026-10-25T16:05:51Z</dcterms:created>
  <dc:creator>openpyxl</dc:creator>
  <dc:description/>
  <dc:language>en-US</dc:language>
  <cp:lastModifiedBy/>
  <dcterms:modified xsi:type="dcterms:W3CDTF">2026-10-25T16:05:51Z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